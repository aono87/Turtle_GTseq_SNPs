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onoufriou/Documents/GitHub/Turtle_GTseq_SNPs/dcor-wpac-final/"/>
    </mc:Choice>
  </mc:AlternateContent>
  <xr:revisionPtr revIDLastSave="0" documentId="13_ncr:1_{23EBA169-FEC5-D543-833F-542CFE68C855}" xr6:coauthVersionLast="47" xr6:coauthVersionMax="47" xr10:uidLastSave="{00000000-0000-0000-0000-000000000000}"/>
  <bookViews>
    <workbookView xWindow="160" yWindow="920" windowWidth="34120" windowHeight="21260" firstSheet="1" activeTab="1" xr2:uid="{2F8F4325-B2C8-0F46-B2F3-681D9E737D6A}"/>
  </bookViews>
  <sheets>
    <sheet name="sample_data" sheetId="1" r:id="rId1"/>
    <sheet name="change_notes_issues" sheetId="3" r:id="rId2"/>
    <sheet name="labels_zpad_wreps" sheetId="2" r:id="rId3"/>
    <sheet name="labels_zpad_merged" sheetId="7" r:id="rId4"/>
    <sheet name="samples to merge" sheetId="9" r:id="rId5"/>
    <sheet name="wreps_dup-check" sheetId="4" r:id="rId6"/>
    <sheet name="merge_dup-check" sheetId="12" r:id="rId7"/>
    <sheet name="new_dupes" sheetId="8" r:id="rId8"/>
    <sheet name="wreps_genos-to-check" sheetId="5" r:id="rId9"/>
    <sheet name="merged_genos-to-check" sheetId="10" r:id="rId10"/>
    <sheet name="merged_genos-to-change" sheetId="11" r:id="rId11"/>
    <sheet name="wreps_mismatches" sheetId="6" r:id="rId12"/>
  </sheets>
  <definedNames>
    <definedName name="_xlnm._FilterDatabase" localSheetId="3" hidden="1">labels_zpad_merged!$A$1:$C$205</definedName>
    <definedName name="_xlnm._FilterDatabase" localSheetId="0" hidden="1">sample_data!$A$1:$CU$1</definedName>
    <definedName name="_xlnm._FilterDatabase" localSheetId="5" hidden="1">'wreps_dup-check'!$A$1:$P$1</definedName>
    <definedName name="_xlnm._FilterDatabase" localSheetId="8" hidden="1">'wreps_genos-to-check'!$A$1:$O$1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48" i="9" l="1"/>
  <c r="F49" i="9"/>
  <c r="F50" i="9"/>
  <c r="F51" i="9"/>
  <c r="F52" i="9"/>
  <c r="F53" i="9"/>
  <c r="F54" i="9"/>
  <c r="F55" i="9"/>
  <c r="F56" i="9"/>
  <c r="F57" i="9"/>
  <c r="F47"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 i="9"/>
  <c r="F2" i="9"/>
  <c r="F3" i="9"/>
  <c r="F1" i="9"/>
  <c r="I22" i="6" l="1"/>
  <c r="H22" i="6"/>
  <c r="O3" i="6"/>
  <c r="O5" i="6"/>
  <c r="O6" i="6"/>
  <c r="O8" i="6"/>
  <c r="O9" i="6"/>
  <c r="O11" i="6"/>
  <c r="O12" i="6"/>
  <c r="O14" i="6"/>
  <c r="O15" i="6"/>
  <c r="O16" i="6"/>
  <c r="O17" i="6"/>
  <c r="O18" i="6"/>
  <c r="O20" i="6"/>
  <c r="O21" i="6"/>
  <c r="O22" i="6"/>
  <c r="O2" i="6"/>
  <c r="I19" i="6"/>
  <c r="O19" i="6" s="1"/>
  <c r="H19" i="6"/>
  <c r="N19" i="6" s="1"/>
  <c r="I16" i="6"/>
  <c r="H16" i="6"/>
  <c r="N16" i="6" s="1"/>
  <c r="I13" i="6"/>
  <c r="H13" i="6"/>
  <c r="N13" i="6" s="1"/>
  <c r="I10" i="6"/>
  <c r="O10" i="6" s="1"/>
  <c r="H10" i="6"/>
  <c r="N10" i="6" s="1"/>
  <c r="I7" i="6"/>
  <c r="N7" i="6" s="1"/>
  <c r="H7" i="6"/>
  <c r="N22" i="6"/>
  <c r="N21" i="6"/>
  <c r="N20" i="6"/>
  <c r="N18" i="6"/>
  <c r="N17" i="6"/>
  <c r="N15" i="6"/>
  <c r="N14" i="6"/>
  <c r="N12" i="6"/>
  <c r="N11" i="6"/>
  <c r="N9" i="6"/>
  <c r="N8" i="6"/>
  <c r="N6" i="6"/>
  <c r="N5" i="6"/>
  <c r="I4" i="6"/>
  <c r="N3" i="6"/>
  <c r="N2" i="6"/>
  <c r="H4" i="6"/>
  <c r="E234" i="1"/>
  <c r="E310" i="1"/>
  <c r="E311" i="1"/>
  <c r="E312" i="1"/>
  <c r="E313" i="1"/>
  <c r="E235" i="1"/>
  <c r="E236" i="1"/>
  <c r="E237" i="1"/>
  <c r="E238" i="1"/>
  <c r="E175" i="1"/>
  <c r="E176" i="1"/>
  <c r="E323" i="1"/>
  <c r="E282" i="1"/>
  <c r="E228" i="1"/>
  <c r="E229" i="1"/>
  <c r="E283" i="1"/>
  <c r="E324" i="1"/>
  <c r="E230" i="1"/>
  <c r="E325" i="1"/>
  <c r="E231"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298" i="1"/>
  <c r="E299" i="1"/>
  <c r="E300" i="1"/>
  <c r="E301" i="1"/>
  <c r="E302" i="1"/>
  <c r="E303" i="1"/>
  <c r="E304" i="1"/>
  <c r="E305" i="1"/>
  <c r="E306" i="1"/>
  <c r="E307" i="1"/>
  <c r="E308" i="1"/>
  <c r="E204" i="1"/>
  <c r="E205" i="1"/>
  <c r="E206" i="1"/>
  <c r="E207" i="1"/>
  <c r="E208" i="1"/>
  <c r="E209" i="1"/>
  <c r="E233" i="1"/>
  <c r="E39" i="1"/>
  <c r="E38" i="1"/>
  <c r="E37" i="1"/>
  <c r="E297" i="1"/>
  <c r="E296" i="1"/>
  <c r="E295" i="1"/>
  <c r="E150" i="1"/>
  <c r="E149" i="1"/>
  <c r="E148" i="1"/>
  <c r="E147" i="1"/>
  <c r="E146" i="1"/>
  <c r="E145" i="1"/>
  <c r="E144" i="1"/>
  <c r="E36" i="1"/>
  <c r="E35" i="1"/>
  <c r="E34" i="1"/>
  <c r="E33" i="1"/>
  <c r="E32" i="1"/>
  <c r="E31" i="1"/>
  <c r="E294" i="1"/>
  <c r="E74" i="1"/>
  <c r="E30" i="1"/>
  <c r="E183" i="1"/>
  <c r="E194" i="1"/>
  <c r="E193" i="1"/>
  <c r="E192" i="1"/>
  <c r="E191" i="1"/>
  <c r="E171" i="1"/>
  <c r="E53" i="1"/>
  <c r="E47" i="1"/>
  <c r="E49" i="1"/>
  <c r="E41" i="1"/>
  <c r="E76" i="1"/>
  <c r="E57" i="1"/>
  <c r="E321" i="1"/>
  <c r="E281" i="1"/>
  <c r="E280" i="1"/>
  <c r="E279" i="1"/>
  <c r="E278" i="1"/>
  <c r="E320" i="1"/>
  <c r="E319" i="1"/>
  <c r="E277" i="1"/>
  <c r="E276" i="1"/>
  <c r="E275" i="1"/>
  <c r="E274" i="1"/>
  <c r="E273" i="1"/>
  <c r="E272" i="1"/>
  <c r="E163" i="1"/>
  <c r="E162" i="1"/>
  <c r="E63" i="1"/>
  <c r="E62" i="1"/>
  <c r="E67" i="1"/>
  <c r="E309" i="1"/>
  <c r="E203" i="1"/>
  <c r="E202" i="1"/>
  <c r="E201" i="1"/>
  <c r="E200" i="1"/>
  <c r="E199" i="1"/>
  <c r="E198" i="1"/>
  <c r="E197" i="1"/>
  <c r="E196" i="1"/>
  <c r="E195" i="1"/>
  <c r="E227" i="1"/>
  <c r="E226" i="1"/>
  <c r="E225" i="1"/>
  <c r="E224" i="1"/>
  <c r="E223" i="1"/>
  <c r="E222" i="1"/>
  <c r="E221" i="1"/>
  <c r="E220" i="1"/>
  <c r="E219" i="1"/>
  <c r="E218" i="1"/>
  <c r="E217" i="1"/>
  <c r="E216" i="1"/>
  <c r="E215" i="1"/>
  <c r="E214" i="1"/>
  <c r="E213" i="1"/>
  <c r="E212" i="1"/>
  <c r="E211" i="1"/>
  <c r="E210" i="1"/>
  <c r="E151" i="1"/>
  <c r="E157" i="1"/>
  <c r="E153" i="1"/>
  <c r="E155" i="1"/>
  <c r="E154" i="1"/>
  <c r="E152" i="1"/>
  <c r="E52" i="1"/>
  <c r="E46" i="1"/>
  <c r="E51" i="1"/>
  <c r="E54" i="1"/>
  <c r="E48" i="1"/>
  <c r="E68" i="1"/>
  <c r="E40" i="1"/>
  <c r="E50" i="1"/>
  <c r="E55" i="1"/>
  <c r="E59" i="1"/>
  <c r="E75" i="1"/>
  <c r="E56" i="1"/>
  <c r="E58" i="1"/>
  <c r="E44" i="1"/>
  <c r="E42" i="1"/>
  <c r="E45" i="1"/>
  <c r="E43" i="1"/>
  <c r="E161" i="1"/>
  <c r="E160" i="1"/>
  <c r="E159" i="1"/>
  <c r="E158" i="1"/>
  <c r="E66" i="1"/>
  <c r="E61" i="1"/>
  <c r="E60" i="1"/>
  <c r="E65" i="1"/>
  <c r="E64" i="1"/>
  <c r="E29" i="1"/>
  <c r="E28" i="1"/>
  <c r="E27" i="1"/>
  <c r="E26" i="1"/>
  <c r="E25" i="1"/>
  <c r="E24" i="1"/>
  <c r="E23" i="1"/>
  <c r="E22" i="1"/>
  <c r="E21" i="1"/>
  <c r="E20" i="1"/>
  <c r="E19" i="1"/>
  <c r="E18" i="1"/>
  <c r="E17" i="1"/>
  <c r="E143" i="1"/>
  <c r="E142" i="1"/>
  <c r="E141" i="1"/>
  <c r="E140" i="1"/>
  <c r="E139" i="1"/>
  <c r="E138" i="1"/>
  <c r="E137" i="1"/>
  <c r="E136" i="1"/>
  <c r="E16" i="1"/>
  <c r="E15" i="1"/>
  <c r="E14" i="1"/>
  <c r="E13" i="1"/>
  <c r="E12" i="1"/>
  <c r="E11" i="1"/>
  <c r="E10" i="1"/>
  <c r="E293" i="1"/>
  <c r="E292" i="1"/>
  <c r="E322" i="1"/>
  <c r="E232" i="1"/>
  <c r="E174" i="1"/>
  <c r="E173" i="1"/>
  <c r="E172" i="1"/>
  <c r="E73" i="1"/>
  <c r="E72" i="1"/>
  <c r="E4" i="1"/>
  <c r="E3" i="1"/>
  <c r="E2" i="1"/>
  <c r="E71" i="1"/>
  <c r="E70" i="1"/>
  <c r="E69" i="1"/>
  <c r="E9" i="1"/>
  <c r="E8" i="1"/>
  <c r="E7" i="1"/>
  <c r="E6" i="1"/>
  <c r="E5" i="1"/>
  <c r="E156" i="1"/>
  <c r="E182" i="1"/>
  <c r="E181" i="1"/>
  <c r="E180" i="1"/>
  <c r="E179" i="1"/>
  <c r="E178" i="1"/>
  <c r="E177" i="1"/>
  <c r="E190" i="1"/>
  <c r="E189" i="1"/>
  <c r="E188" i="1"/>
  <c r="E187" i="1"/>
  <c r="E186" i="1"/>
  <c r="E185" i="1"/>
  <c r="E170" i="1"/>
  <c r="E169" i="1"/>
  <c r="E168" i="1"/>
  <c r="E167" i="1"/>
  <c r="E166" i="1"/>
  <c r="E165" i="1"/>
  <c r="E164" i="1"/>
  <c r="E271" i="1"/>
  <c r="E318" i="1"/>
  <c r="E270" i="1"/>
  <c r="E269" i="1"/>
  <c r="E268" i="1"/>
  <c r="E267" i="1"/>
  <c r="E266" i="1"/>
  <c r="E265" i="1"/>
  <c r="E264" i="1"/>
  <c r="E263" i="1"/>
  <c r="E262" i="1"/>
  <c r="E261" i="1"/>
  <c r="E260" i="1"/>
  <c r="E259" i="1"/>
  <c r="E317" i="1"/>
  <c r="E316" i="1"/>
  <c r="E258" i="1"/>
  <c r="E257" i="1"/>
  <c r="E315" i="1"/>
  <c r="E256" i="1"/>
  <c r="E255" i="1"/>
  <c r="E254" i="1"/>
  <c r="E253" i="1"/>
  <c r="E252" i="1"/>
  <c r="E251" i="1"/>
  <c r="E250" i="1"/>
  <c r="E249" i="1"/>
  <c r="E248" i="1"/>
  <c r="E314" i="1"/>
  <c r="E247" i="1"/>
  <c r="E246" i="1"/>
  <c r="E245" i="1"/>
  <c r="E244" i="1"/>
  <c r="E243" i="1"/>
  <c r="E242" i="1"/>
  <c r="E241" i="1"/>
  <c r="E240" i="1"/>
  <c r="E239" i="1"/>
  <c r="E184" i="1"/>
  <c r="E291" i="1"/>
  <c r="E290" i="1"/>
  <c r="E289" i="1"/>
  <c r="E288" i="1"/>
  <c r="E287" i="1"/>
  <c r="E286" i="1"/>
  <c r="E285" i="1"/>
  <c r="E284" i="1"/>
  <c r="O7" i="6" l="1"/>
  <c r="O13" i="6"/>
  <c r="N4" i="6"/>
  <c r="O4" i="6"/>
</calcChain>
</file>

<file path=xl/sharedStrings.xml><?xml version="1.0" encoding="utf-8"?>
<sst xmlns="http://schemas.openxmlformats.org/spreadsheetml/2006/main" count="10272" uniqueCount="1808">
  <si>
    <t>z0006796_mapped2ref.sam</t>
  </si>
  <si>
    <t>z0006797_mapped2ref.sam</t>
  </si>
  <si>
    <t>z0006798_mapped2ref.sam</t>
  </si>
  <si>
    <t>z0006799_mapped2ref.sam</t>
  </si>
  <si>
    <t>z0006799b_mapped2ref.sam</t>
  </si>
  <si>
    <t>z0006800_mapped2ref.sam</t>
  </si>
  <si>
    <t>z0006801_mapped2ref.sam</t>
  </si>
  <si>
    <t>z0006802_mapped2ref.sam</t>
  </si>
  <si>
    <t>z0006802b_mapped2ref.sam</t>
  </si>
  <si>
    <t>z0006803_mapped2ref.sam</t>
  </si>
  <si>
    <t>z0006803b_mapped2ref.sam</t>
  </si>
  <si>
    <t>z0006805_mapped2ref.sam</t>
  </si>
  <si>
    <t>z0012480_mapped2ref.sam</t>
  </si>
  <si>
    <t>z0012480b_mapped2ref.sam</t>
  </si>
  <si>
    <t>z0012481_mapped2ref.sam</t>
  </si>
  <si>
    <t>z0012481b_mapped2ref.sam</t>
  </si>
  <si>
    <t>z0012482_mapped2ref.sam</t>
  </si>
  <si>
    <t>z0012483_mapped2ref.sam</t>
  </si>
  <si>
    <t>z0012484_mapped2ref.sam</t>
  </si>
  <si>
    <t>z0012485_mapped2ref.sam</t>
  </si>
  <si>
    <t>z0012486_mapped2ref.sam</t>
  </si>
  <si>
    <t>z0012487_mapped2ref.sam</t>
  </si>
  <si>
    <t>z0012488_mapped2ref.sam</t>
  </si>
  <si>
    <t>z0012489_mapped2ref.sam</t>
  </si>
  <si>
    <t>z0012489b_mapped2ref.sam</t>
  </si>
  <si>
    <t>z0012490_mapped2ref.sam</t>
  </si>
  <si>
    <t>z0012491_mapped2ref.sam</t>
  </si>
  <si>
    <t>z0012492_mapped2ref.sam</t>
  </si>
  <si>
    <t>z0012492b_mapped2ref.sam</t>
  </si>
  <si>
    <t>z0012493_mapped2ref.sam</t>
  </si>
  <si>
    <t>z0012494_mapped2ref.sam</t>
  </si>
  <si>
    <t>z0012495_mapped2ref.sam</t>
  </si>
  <si>
    <t>z0012496_mapped2ref.sam</t>
  </si>
  <si>
    <t>z0012496b_mapped2ref.sam</t>
  </si>
  <si>
    <t>z0012497_mapped2ref.sam</t>
  </si>
  <si>
    <t>z0012498_mapped2ref.sam</t>
  </si>
  <si>
    <t>z0012499_mapped2ref.sam</t>
  </si>
  <si>
    <t>z0012500_mapped2ref.sam</t>
  </si>
  <si>
    <t>z0012500b_mapped2ref.sam</t>
  </si>
  <si>
    <t>z0012501_mapped2ref.sam</t>
  </si>
  <si>
    <t>z0012502_mapped2ref.sam</t>
  </si>
  <si>
    <t>z0012503_mapped2ref.sam</t>
  </si>
  <si>
    <t>z0012504_mapped2ref.sam</t>
  </si>
  <si>
    <t>z0012505_mapped2ref.sam</t>
  </si>
  <si>
    <t>z0012506_mapped2ref.sam</t>
  </si>
  <si>
    <t>z0012507_mapped2ref.sam</t>
  </si>
  <si>
    <t>z0012508_mapped2ref.sam</t>
  </si>
  <si>
    <t>z0012509_mapped2ref.sam</t>
  </si>
  <si>
    <t>z0012509b_mapped2ref.sam</t>
  </si>
  <si>
    <t>z0012509c_mapped2ref.sam</t>
  </si>
  <si>
    <t>z0012511_mapped2ref.sam</t>
  </si>
  <si>
    <t>z0012512_mapped2ref.sam</t>
  </si>
  <si>
    <t>z0012513_mapped2ref.sam</t>
  </si>
  <si>
    <t>z0012514_mapped2ref.sam</t>
  </si>
  <si>
    <t>z0012514b_mapped2ref.sam</t>
  </si>
  <si>
    <t>z0012515_mapped2ref.sam</t>
  </si>
  <si>
    <t>z0012516_mapped2ref.sam</t>
  </si>
  <si>
    <t>z0012517_mapped2ref.sam</t>
  </si>
  <si>
    <t>z0012518_mapped2ref.sam</t>
  </si>
  <si>
    <t>z0012519_mapped2ref.sam</t>
  </si>
  <si>
    <t>z0012519b_mapped2ref.sam</t>
  </si>
  <si>
    <t>z0012520_mapped2ref.sam</t>
  </si>
  <si>
    <t>z0012520b_mapped2ref.sam</t>
  </si>
  <si>
    <t>z0012521_mapped2ref.sam</t>
  </si>
  <si>
    <t>z0012521b_mapped2ref.sam</t>
  </si>
  <si>
    <t>z0012522_mapped2ref.sam</t>
  </si>
  <si>
    <t>z0012523_mapped2ref.sam</t>
  </si>
  <si>
    <t>z0012524_mapped2ref.sam</t>
  </si>
  <si>
    <t>z0012525_mapped2ref.sam</t>
  </si>
  <si>
    <t>z0012526_mapped2ref.sam</t>
  </si>
  <si>
    <t>z0012527_mapped2ref.sam</t>
  </si>
  <si>
    <t>z0012527b_mapped2ref.sam</t>
  </si>
  <si>
    <t>z0012528_mapped2ref.sam</t>
  </si>
  <si>
    <t>z0016882_mapped2ref.sam</t>
  </si>
  <si>
    <t>z0016883_mapped2ref.sam</t>
  </si>
  <si>
    <t>z0016884_mapped2ref.sam</t>
  </si>
  <si>
    <t>z0016884b_mapped2ref.sam</t>
  </si>
  <si>
    <t>z0016885_mapped2ref.sam</t>
  </si>
  <si>
    <t>z0016886_mapped2ref.sam</t>
  </si>
  <si>
    <t>z0016887_mapped2ref.sam</t>
  </si>
  <si>
    <t>z0016888_mapped2ref.sam</t>
  </si>
  <si>
    <t>z0026450_mapped2ref.sam</t>
  </si>
  <si>
    <t>z0026450b_mapped2ref.sam</t>
  </si>
  <si>
    <t>z0026451_mapped2ref.sam</t>
  </si>
  <si>
    <t>z0026451b_mapped2ref.sam</t>
  </si>
  <si>
    <t>z0026452_mapped2ref.sam</t>
  </si>
  <si>
    <t>z0026452b_mapped2ref.sam</t>
  </si>
  <si>
    <t>z0026456_mapped2ref.sam</t>
  </si>
  <si>
    <t>z0026457_mapped2ref.sam</t>
  </si>
  <si>
    <t>z0026457b_mapped2ref.sam</t>
  </si>
  <si>
    <t>z0026458_mapped2ref.sam</t>
  </si>
  <si>
    <t>z0032021_mapped2ref.sam</t>
  </si>
  <si>
    <t>z0032021b_mapped2ref.sam</t>
  </si>
  <si>
    <t>z0032022_mapped2ref.sam</t>
  </si>
  <si>
    <t>z0032023_mapped2ref.sam</t>
  </si>
  <si>
    <t>z0032024_mapped2ref.sam</t>
  </si>
  <si>
    <t>z0032025_mapped2ref.sam</t>
  </si>
  <si>
    <t>z0032028_mapped2ref.sam</t>
  </si>
  <si>
    <t>z0032030_mapped2ref.sam</t>
  </si>
  <si>
    <t>z0032031_mapped2ref.sam</t>
  </si>
  <si>
    <t>z0035352_mapped2ref.sam</t>
  </si>
  <si>
    <t>z0037412_mapped2ref.sam</t>
  </si>
  <si>
    <t>z0037417_mapped2ref.sam</t>
  </si>
  <si>
    <t>z0037418_mapped2ref.sam</t>
  </si>
  <si>
    <t>z0037419_mapped2ref.sam</t>
  </si>
  <si>
    <t>z0037419b_mapped2ref.sam</t>
  </si>
  <si>
    <t>z0037422_mapped2ref.sam</t>
  </si>
  <si>
    <t>z0037463_mapped2ref.sam</t>
  </si>
  <si>
    <t>z0037464_mapped2ref.sam</t>
  </si>
  <si>
    <t>z0037465_mapped2ref.sam</t>
  </si>
  <si>
    <t>z0037466_mapped2ref.sam</t>
  </si>
  <si>
    <t>z0037467_mapped2ref.sam</t>
  </si>
  <si>
    <t>z0037468_mapped2ref.sam</t>
  </si>
  <si>
    <t>z0037469_mapped2ref.sam</t>
  </si>
  <si>
    <t>z0037469b_mapped2ref.sam</t>
  </si>
  <si>
    <t>z0037471_mapped2ref.sam</t>
  </si>
  <si>
    <t>z0040942_mapped2ref.sam</t>
  </si>
  <si>
    <t>z0040943_mapped2ref.sam</t>
  </si>
  <si>
    <t>z0040945_mapped2ref.sam</t>
  </si>
  <si>
    <t>z0061449_mapped2ref.sam</t>
  </si>
  <si>
    <t>z0061450_mapped2ref.sam</t>
  </si>
  <si>
    <t>z0061452_mapped2ref.sam</t>
  </si>
  <si>
    <t>z0061452b_mapped2ref.sam</t>
  </si>
  <si>
    <t>z0061453_mapped2ref.sam</t>
  </si>
  <si>
    <t>z0061455_mapped2ref.sam</t>
  </si>
  <si>
    <t>z0061457_mapped2ref.sam</t>
  </si>
  <si>
    <t>z0061459_mapped2ref.sam</t>
  </si>
  <si>
    <t>z0061461_mapped2ref.sam</t>
  </si>
  <si>
    <t>z0061462_mapped2ref.sam</t>
  </si>
  <si>
    <t>z0061464_mapped2ref.sam</t>
  </si>
  <si>
    <t>z0061467_mapped2ref.sam</t>
  </si>
  <si>
    <t>z0061467b_mapped2ref.sam</t>
  </si>
  <si>
    <t>z0061468_mapped2ref.sam</t>
  </si>
  <si>
    <t>z0062622_mapped2ref.sam</t>
  </si>
  <si>
    <t>z0062622b_mapped2ref.sam</t>
  </si>
  <si>
    <t>z0062627_mapped2ref.sam</t>
  </si>
  <si>
    <t>z0062627b_mapped2ref.sam</t>
  </si>
  <si>
    <t>z0062630_mapped2ref.sam</t>
  </si>
  <si>
    <t>z0062630b_mapped2ref.sam</t>
  </si>
  <si>
    <t>z0062632_mapped2ref.sam</t>
  </si>
  <si>
    <t>z0062634_mapped2ref.sam</t>
  </si>
  <si>
    <t>z0062634b_mapped2ref.sam</t>
  </si>
  <si>
    <t>z0062636_mapped2ref.sam</t>
  </si>
  <si>
    <t>z0062636b_mapped2ref.sam</t>
  </si>
  <si>
    <t>z0062680_mapped2ref.sam</t>
  </si>
  <si>
    <t>z0062680b_mapped2ref.sam</t>
  </si>
  <si>
    <t>z0062681_mapped2ref.sam</t>
  </si>
  <si>
    <t>z0062684_mapped2ref.sam</t>
  </si>
  <si>
    <t>z0062686_mapped2ref.sam</t>
  </si>
  <si>
    <t>z0062687_mapped2ref.sam</t>
  </si>
  <si>
    <t>z0062687b_mapped2ref.sam</t>
  </si>
  <si>
    <t>z0062690_mapped2ref.sam</t>
  </si>
  <si>
    <t>z0062691_mapped2ref.sam</t>
  </si>
  <si>
    <t>z0062692_mapped2ref.sam</t>
  </si>
  <si>
    <t>z0062693_mapped2ref.sam</t>
  </si>
  <si>
    <t>z0062694_mapped2ref.sam</t>
  </si>
  <si>
    <t>z0062694b_mapped2ref.sam</t>
  </si>
  <si>
    <t>z0062697_mapped2ref.sam</t>
  </si>
  <si>
    <t>z0062700_mapped2ref.sam</t>
  </si>
  <si>
    <t>z0062701_mapped2ref.sam</t>
  </si>
  <si>
    <t>z0062702_mapped2ref.sam</t>
  </si>
  <si>
    <t>z0062704_mapped2ref.sam</t>
  </si>
  <si>
    <t>z0062707_mapped2ref.sam</t>
  </si>
  <si>
    <t>z0062708_mapped2ref.sam</t>
  </si>
  <si>
    <t>z0062709_mapped2ref.sam</t>
  </si>
  <si>
    <t>z0062710_mapped2ref.sam</t>
  </si>
  <si>
    <t>z0062712_mapped2ref.sam</t>
  </si>
  <si>
    <t>z0062712b_mapped2ref.sam</t>
  </si>
  <si>
    <t>z0062715_mapped2ref.sam</t>
  </si>
  <si>
    <t>z0062716_mapped2ref.sam</t>
  </si>
  <si>
    <t>z0062717_mapped2ref.sam</t>
  </si>
  <si>
    <t>z0062718_mapped2ref.sam</t>
  </si>
  <si>
    <t>z0062720_mapped2ref.sam</t>
  </si>
  <si>
    <t>z0062721_mapped2ref.sam</t>
  </si>
  <si>
    <t>z0062724_mapped2ref.sam</t>
  </si>
  <si>
    <t>z0062725_mapped2ref.sam</t>
  </si>
  <si>
    <t>z0062726_mapped2ref.sam</t>
  </si>
  <si>
    <t>z0062726b_mapped2ref.sam</t>
  </si>
  <si>
    <t>z0062727_mapped2ref.sam</t>
  </si>
  <si>
    <t>z0062729_mapped2ref.sam</t>
  </si>
  <si>
    <t>z0062730_mapped2ref.sam</t>
  </si>
  <si>
    <t>z0062731_mapped2ref.sam</t>
  </si>
  <si>
    <t>z0062735_mapped2ref.sam</t>
  </si>
  <si>
    <t>z0062736_mapped2ref.sam</t>
  </si>
  <si>
    <t>z0062737_mapped2ref.sam</t>
  </si>
  <si>
    <t>z0062738_mapped2ref.sam</t>
  </si>
  <si>
    <t>z0062740_mapped2ref.sam</t>
  </si>
  <si>
    <t>z0062742_mapped2ref.sam</t>
  </si>
  <si>
    <t>z0062742b_mapped2ref.sam</t>
  </si>
  <si>
    <t>z0062743_mapped2ref.sam</t>
  </si>
  <si>
    <t>z0062743b_mapped2ref.sam</t>
  </si>
  <si>
    <t>z0062744_mapped2ref.sam</t>
  </si>
  <si>
    <t>z0062751_mapped2ref.sam</t>
  </si>
  <si>
    <t>z0062751b_mapped2ref.sam</t>
  </si>
  <si>
    <t>z0062752_mapped2ref.sam</t>
  </si>
  <si>
    <t>z0062752b_mapped2ref.sam</t>
  </si>
  <si>
    <t>z0062757_mapped2ref.sam</t>
  </si>
  <si>
    <t>z0062761_mapped2ref.sam</t>
  </si>
  <si>
    <t>z0062761b_mapped2ref.sam</t>
  </si>
  <si>
    <t>z0062762_mapped2ref.sam</t>
  </si>
  <si>
    <t>z0062763_mapped2ref.sam</t>
  </si>
  <si>
    <t>z0062764_mapped2ref.sam</t>
  </si>
  <si>
    <t>z0062765_mapped2ref.sam</t>
  </si>
  <si>
    <t>z0062766_mapped2ref.sam</t>
  </si>
  <si>
    <t>z0062766b_mapped2ref.sam</t>
  </si>
  <si>
    <t>z0062767_mapped2ref.sam</t>
  </si>
  <si>
    <t>z0062769_mapped2ref.sam</t>
  </si>
  <si>
    <t>z0062770_mapped2ref.sam</t>
  </si>
  <si>
    <t>z0062771_mapped2ref.sam</t>
  </si>
  <si>
    <t>z0062772_mapped2ref.sam</t>
  </si>
  <si>
    <t>z0062773_mapped2ref.sam</t>
  </si>
  <si>
    <t>z0062775_mapped2ref.sam</t>
  </si>
  <si>
    <t>z0062776_mapped2ref.sam</t>
  </si>
  <si>
    <t>z0062779_mapped2ref.sam</t>
  </si>
  <si>
    <t>z0062780_mapped2ref.sam</t>
  </si>
  <si>
    <t>z0062780b_mapped2ref.sam</t>
  </si>
  <si>
    <t>z0062783_mapped2ref.sam</t>
  </si>
  <si>
    <t>z0062784_mapped2ref.sam</t>
  </si>
  <si>
    <t>z0062787_mapped2ref.sam</t>
  </si>
  <si>
    <t>z0062787b_mapped2ref.sam</t>
  </si>
  <si>
    <t>z0076691_mapped2ref.sam</t>
  </si>
  <si>
    <t>z0076691b_mapped2ref.sam</t>
  </si>
  <si>
    <t>z0076693_mapped2ref.sam</t>
  </si>
  <si>
    <t>z0076695_mapped2ref.sam</t>
  </si>
  <si>
    <t>z0076695b_mapped2ref.sam</t>
  </si>
  <si>
    <t>z0076697_mapped2ref.sam</t>
  </si>
  <si>
    <t>z0076697b_mapped2ref.sam</t>
  </si>
  <si>
    <t>z0076699_mapped2ref.sam</t>
  </si>
  <si>
    <t>z0076701_mapped2ref.sam</t>
  </si>
  <si>
    <t>z0076703_mapped2ref.sam</t>
  </si>
  <si>
    <t>z0076705_mapped2ref.sam</t>
  </si>
  <si>
    <t>z0076707_mapped2ref.sam</t>
  </si>
  <si>
    <t>z0076709_mapped2ref.sam</t>
  </si>
  <si>
    <t>z0076711_mapped2ref.sam</t>
  </si>
  <si>
    <t>z0076713_mapped2ref.sam</t>
  </si>
  <si>
    <t>z0076715_mapped2ref.sam</t>
  </si>
  <si>
    <t>z0102589_mapped2ref.sam</t>
  </si>
  <si>
    <t>z0102605_mapped2ref.sam</t>
  </si>
  <si>
    <t>z0102605b_mapped2ref.sam</t>
  </si>
  <si>
    <t>z0102610_mapped2ref.sam</t>
  </si>
  <si>
    <t>z0102610b_mapped2ref.sam</t>
  </si>
  <si>
    <t>z0102616_mapped2ref.sam</t>
  </si>
  <si>
    <t>z0102616b_mapped2ref.sam</t>
  </si>
  <si>
    <t>z0102682_mapped2ref.sam</t>
  </si>
  <si>
    <t>z0117088_mapped2ref.sam</t>
  </si>
  <si>
    <t>z0117088b_mapped2ref.sam</t>
  </si>
  <si>
    <t>z0117089_mapped2ref.sam</t>
  </si>
  <si>
    <t>z0117094_mapped2ref.sam</t>
  </si>
  <si>
    <t>z0117103_mapped2ref.sam</t>
  </si>
  <si>
    <t>z0117103b_mapped2ref.sam</t>
  </si>
  <si>
    <t>z0134055_mapped2ref.sam</t>
  </si>
  <si>
    <t>z0134059_mapped2ref.sam</t>
  </si>
  <si>
    <t>z0134061_mapped2ref.sam</t>
  </si>
  <si>
    <t>z0134064_mapped2ref.sam</t>
  </si>
  <si>
    <t>z0134066_mapped2ref.sam</t>
  </si>
  <si>
    <t>z0134070_mapped2ref.sam</t>
  </si>
  <si>
    <t>z0134070b_mapped2ref.sam</t>
  </si>
  <si>
    <t>z0134074_mapped2ref.sam</t>
  </si>
  <si>
    <t>z0134074b_mapped2ref.sam</t>
  </si>
  <si>
    <t>z0134087_mapped2ref.sam</t>
  </si>
  <si>
    <t>z0134095_mapped2ref.sam</t>
  </si>
  <si>
    <t>z0134097_mapped2ref.sam</t>
  </si>
  <si>
    <t>z0134098_mapped2ref.sam</t>
  </si>
  <si>
    <t>z0134098b_mapped2ref.sam</t>
  </si>
  <si>
    <t>z0134101_mapped2ref.sam</t>
  </si>
  <si>
    <t>z0134108_mapped2ref.sam</t>
  </si>
  <si>
    <t>z0134108b_mapped2ref.sam</t>
  </si>
  <si>
    <t>z0134109_mapped2ref.sam</t>
  </si>
  <si>
    <t>z0134111_mapped2ref.sam</t>
  </si>
  <si>
    <t>z0134112_mapped2ref.sam</t>
  </si>
  <si>
    <t>z0134112b_mapped2ref.sam</t>
  </si>
  <si>
    <t>z0134113_mapped2ref.sam</t>
  </si>
  <si>
    <t>z0134113b_mapped2ref.sam</t>
  </si>
  <si>
    <t>z0178009_mapped2ref.sam</t>
  </si>
  <si>
    <t>z0178011_mapped2ref.sam</t>
  </si>
  <si>
    <t>z0178014_mapped2ref.sam</t>
  </si>
  <si>
    <t>z0207730_mapped2ref.sam</t>
  </si>
  <si>
    <t>z0207745_mapped2ref.sam</t>
  </si>
  <si>
    <t>z0210588_mapped2ref.sam</t>
  </si>
  <si>
    <t>z0216904_mapped2ref.sam</t>
  </si>
  <si>
    <t>z0216905_mapped2ref.sam</t>
  </si>
  <si>
    <t>z0216906_mapped2ref.sam</t>
  </si>
  <si>
    <t>z0216907_mapped2ref.sam</t>
  </si>
  <si>
    <t>z0216908_mapped2ref.sam</t>
  </si>
  <si>
    <t>z0216909_mapped2ref.sam</t>
  </si>
  <si>
    <t>z0216910_mapped2ref.sam</t>
  </si>
  <si>
    <t>z0216911_mapped2ref.sam</t>
  </si>
  <si>
    <t>z0216912_mapped2ref.sam</t>
  </si>
  <si>
    <t>z0216913_mapped2ref.sam</t>
  </si>
  <si>
    <t>z0216914_mapped2ref.sam</t>
  </si>
  <si>
    <t>z0216915_mapped2ref.sam</t>
  </si>
  <si>
    <t>z0216916_mapped2ref.sam</t>
  </si>
  <si>
    <t>z0216917_mapped2ref.sam</t>
  </si>
  <si>
    <t>z0216918_mapped2ref.sam</t>
  </si>
  <si>
    <t>z0216919_mapped2ref.sam</t>
  </si>
  <si>
    <t>z0216920_mapped2ref.sam</t>
  </si>
  <si>
    <t>z0216921_mapped2ref.sam</t>
  </si>
  <si>
    <t>z0216922_mapped2ref.sam</t>
  </si>
  <si>
    <t>z0216923_mapped2ref.sam</t>
  </si>
  <si>
    <t>z0216924_mapped2ref.sam</t>
  </si>
  <si>
    <t>z0216925_mapped2ref.sam</t>
  </si>
  <si>
    <t>z0216926_mapped2ref.sam</t>
  </si>
  <si>
    <t>z0216927_mapped2ref.sam</t>
  </si>
  <si>
    <t>z0216928_mapped2ref.sam</t>
  </si>
  <si>
    <t>z0216929_mapped2ref.sam</t>
  </si>
  <si>
    <t>z0216930_mapped2ref.sam</t>
  </si>
  <si>
    <t>z0216931_mapped2ref.sam</t>
  </si>
  <si>
    <t>z0216932_mapped2ref.sam</t>
  </si>
  <si>
    <t>z0216933_mapped2ref.sam</t>
  </si>
  <si>
    <t>z0216934_mapped2ref.sam</t>
  </si>
  <si>
    <t>z0216935_mapped2ref.sam</t>
  </si>
  <si>
    <t>z0216936_mapped2ref.sam</t>
  </si>
  <si>
    <t>z0216937_mapped2ref.sam</t>
  </si>
  <si>
    <t>z0216938_mapped2ref.sam</t>
  </si>
  <si>
    <t>z0216939_mapped2ref.sam</t>
  </si>
  <si>
    <t>z0216940_mapped2ref.sam</t>
  </si>
  <si>
    <t>z0216941_mapped2ref.sam</t>
  </si>
  <si>
    <t>z0216942_mapped2ref.sam</t>
  </si>
  <si>
    <t>z0216943_mapped2ref.sam</t>
  </si>
  <si>
    <t>z0216944_mapped2ref.sam</t>
  </si>
  <si>
    <t>z0216945_mapped2ref.sam</t>
  </si>
  <si>
    <t>z0216946_mapped2ref.sam</t>
  </si>
  <si>
    <t>z0216947_mapped2ref.sam</t>
  </si>
  <si>
    <t>z0216948_mapped2ref.sam</t>
  </si>
  <si>
    <t>z0006796</t>
  </si>
  <si>
    <t>z0006797</t>
  </si>
  <si>
    <t>z0006798</t>
  </si>
  <si>
    <t>z0006799</t>
  </si>
  <si>
    <t>z0006799b</t>
  </si>
  <si>
    <t>z0006800</t>
  </si>
  <si>
    <t>z0006801</t>
  </si>
  <si>
    <t>z0006802</t>
  </si>
  <si>
    <t>z0006802b</t>
  </si>
  <si>
    <t>z0006803</t>
  </si>
  <si>
    <t>z0006803b</t>
  </si>
  <si>
    <t>z0006805</t>
  </si>
  <si>
    <t>z0012480</t>
  </si>
  <si>
    <t>z0012480b</t>
  </si>
  <si>
    <t>z0012481</t>
  </si>
  <si>
    <t>z0012481b</t>
  </si>
  <si>
    <t>z0012482</t>
  </si>
  <si>
    <t>z0012483</t>
  </si>
  <si>
    <t>z0012484</t>
  </si>
  <si>
    <t>z0012485</t>
  </si>
  <si>
    <t>z0012486</t>
  </si>
  <si>
    <t>z0012487</t>
  </si>
  <si>
    <t>z0012488</t>
  </si>
  <si>
    <t>z0012489</t>
  </si>
  <si>
    <t>z0012489b</t>
  </si>
  <si>
    <t>z0012490</t>
  </si>
  <si>
    <t>z0012491</t>
  </si>
  <si>
    <t>z0012492</t>
  </si>
  <si>
    <t>z0012492b</t>
  </si>
  <si>
    <t>z0012493</t>
  </si>
  <si>
    <t>z0012494</t>
  </si>
  <si>
    <t>z0012495</t>
  </si>
  <si>
    <t>z0012496</t>
  </si>
  <si>
    <t>z0012496b</t>
  </si>
  <si>
    <t>z0012497</t>
  </si>
  <si>
    <t>z0012498</t>
  </si>
  <si>
    <t>z0012499</t>
  </si>
  <si>
    <t>z0012500</t>
  </si>
  <si>
    <t>z0012500b</t>
  </si>
  <si>
    <t>z0012501</t>
  </si>
  <si>
    <t>z0012502</t>
  </si>
  <si>
    <t>z0012503</t>
  </si>
  <si>
    <t>z0012504</t>
  </si>
  <si>
    <t>z0012505</t>
  </si>
  <si>
    <t>z0012506</t>
  </si>
  <si>
    <t>z0012507</t>
  </si>
  <si>
    <t>z0012508</t>
  </si>
  <si>
    <t>z0012509</t>
  </si>
  <si>
    <t>z0012509b</t>
  </si>
  <si>
    <t>z0012509c</t>
  </si>
  <si>
    <t>z0012511</t>
  </si>
  <si>
    <t>z0012512</t>
  </si>
  <si>
    <t>z0012513</t>
  </si>
  <si>
    <t>z0012514</t>
  </si>
  <si>
    <t>z0012514b</t>
  </si>
  <si>
    <t>z0012515</t>
  </si>
  <si>
    <t>z0012516</t>
  </si>
  <si>
    <t>z0012517</t>
  </si>
  <si>
    <t>z0012518</t>
  </si>
  <si>
    <t>z0012519</t>
  </si>
  <si>
    <t>z0012519b</t>
  </si>
  <si>
    <t>z0012520</t>
  </si>
  <si>
    <t>z0012520b</t>
  </si>
  <si>
    <t>z0012521</t>
  </si>
  <si>
    <t>z0012521b</t>
  </si>
  <si>
    <t>z0012522</t>
  </si>
  <si>
    <t>z0012523</t>
  </si>
  <si>
    <t>z0012524</t>
  </si>
  <si>
    <t>z0012525</t>
  </si>
  <si>
    <t>z0012526</t>
  </si>
  <si>
    <t>z0012527</t>
  </si>
  <si>
    <t>z0012527b</t>
  </si>
  <si>
    <t>z0012528</t>
  </si>
  <si>
    <t>z0016882</t>
  </si>
  <si>
    <t>z0016883</t>
  </si>
  <si>
    <t>z0016884</t>
  </si>
  <si>
    <t>z0016884b</t>
  </si>
  <si>
    <t>z0016885</t>
  </si>
  <si>
    <t>z0016886</t>
  </si>
  <si>
    <t>z0016887</t>
  </si>
  <si>
    <t>z0016888</t>
  </si>
  <si>
    <t>z0026450</t>
  </si>
  <si>
    <t>z0026450b</t>
  </si>
  <si>
    <t>z0026451</t>
  </si>
  <si>
    <t>z0026451b</t>
  </si>
  <si>
    <t>z0026452</t>
  </si>
  <si>
    <t>z0026452b</t>
  </si>
  <si>
    <t>z0026456</t>
  </si>
  <si>
    <t>z0026457</t>
  </si>
  <si>
    <t>z0026457b</t>
  </si>
  <si>
    <t>z0026458</t>
  </si>
  <si>
    <t>z0032021</t>
  </si>
  <si>
    <t>z0032021b</t>
  </si>
  <si>
    <t>z0032022</t>
  </si>
  <si>
    <t>z0032023</t>
  </si>
  <si>
    <t>z0032024</t>
  </si>
  <si>
    <t>z0032025</t>
  </si>
  <si>
    <t>z0032028</t>
  </si>
  <si>
    <t>z0032030</t>
  </si>
  <si>
    <t>z0032031</t>
  </si>
  <si>
    <t>z0035352</t>
  </si>
  <si>
    <t>z0037412</t>
  </si>
  <si>
    <t>z0037417</t>
  </si>
  <si>
    <t>z0037418</t>
  </si>
  <si>
    <t>z0037419</t>
  </si>
  <si>
    <t>z0037419b</t>
  </si>
  <si>
    <t>z0037422</t>
  </si>
  <si>
    <t>z0037463</t>
  </si>
  <si>
    <t>z0037464</t>
  </si>
  <si>
    <t>z0037465</t>
  </si>
  <si>
    <t>z0037466</t>
  </si>
  <si>
    <t>z0037467</t>
  </si>
  <si>
    <t>z0037468</t>
  </si>
  <si>
    <t>z0037469</t>
  </si>
  <si>
    <t>z0037469b</t>
  </si>
  <si>
    <t>z0037471</t>
  </si>
  <si>
    <t>z0040942</t>
  </si>
  <si>
    <t>z0040943</t>
  </si>
  <si>
    <t>z0040945</t>
  </si>
  <si>
    <t>z0061449</t>
  </si>
  <si>
    <t>z0061450</t>
  </si>
  <si>
    <t>z0061452</t>
  </si>
  <si>
    <t>z0061452b</t>
  </si>
  <si>
    <t>z0061453</t>
  </si>
  <si>
    <t>z0061455</t>
  </si>
  <si>
    <t>z0061457</t>
  </si>
  <si>
    <t>z0061459</t>
  </si>
  <si>
    <t>z0061461</t>
  </si>
  <si>
    <t>z0061462</t>
  </si>
  <si>
    <t>z0061464</t>
  </si>
  <si>
    <t>z0061467</t>
  </si>
  <si>
    <t>z0061467b</t>
  </si>
  <si>
    <t>z0061468</t>
  </si>
  <si>
    <t>z0062622</t>
  </si>
  <si>
    <t>z0062622b</t>
  </si>
  <si>
    <t>z0062627</t>
  </si>
  <si>
    <t>z0062627b</t>
  </si>
  <si>
    <t>z0062630</t>
  </si>
  <si>
    <t>z0062630b</t>
  </si>
  <si>
    <t>z0062632</t>
  </si>
  <si>
    <t>z0062634</t>
  </si>
  <si>
    <t>z0062634b</t>
  </si>
  <si>
    <t>z0062636</t>
  </si>
  <si>
    <t>z0062636b</t>
  </si>
  <si>
    <t>z0062680</t>
  </si>
  <si>
    <t>z0062680b</t>
  </si>
  <si>
    <t>z0062681</t>
  </si>
  <si>
    <t>z0062684</t>
  </si>
  <si>
    <t>z0062686</t>
  </si>
  <si>
    <t>z0062687</t>
  </si>
  <si>
    <t>z0062687b</t>
  </si>
  <si>
    <t>z0062690</t>
  </si>
  <si>
    <t>z0062691</t>
  </si>
  <si>
    <t>z0062692</t>
  </si>
  <si>
    <t>z0062693</t>
  </si>
  <si>
    <t>z0062694</t>
  </si>
  <si>
    <t>z0062694b</t>
  </si>
  <si>
    <t>z0062697</t>
  </si>
  <si>
    <t>z0062700</t>
  </si>
  <si>
    <t>z0062701</t>
  </si>
  <si>
    <t>z0062702</t>
  </si>
  <si>
    <t>z0062704</t>
  </si>
  <si>
    <t>z0062707</t>
  </si>
  <si>
    <t>z0062708</t>
  </si>
  <si>
    <t>z0062709</t>
  </si>
  <si>
    <t>z0062710</t>
  </si>
  <si>
    <t>z0062712</t>
  </si>
  <si>
    <t>z0062712b</t>
  </si>
  <si>
    <t>z0062715</t>
  </si>
  <si>
    <t>z0062716</t>
  </si>
  <si>
    <t>z0062717</t>
  </si>
  <si>
    <t>z0062718</t>
  </si>
  <si>
    <t>z0062720</t>
  </si>
  <si>
    <t>z0062721</t>
  </si>
  <si>
    <t>z0062724</t>
  </si>
  <si>
    <t>z0062725</t>
  </si>
  <si>
    <t>z0062726</t>
  </si>
  <si>
    <t>z0062726b</t>
  </si>
  <si>
    <t>z0062727</t>
  </si>
  <si>
    <t>z0062729</t>
  </si>
  <si>
    <t>z0062730</t>
  </si>
  <si>
    <t>z0062731</t>
  </si>
  <si>
    <t>z0062735</t>
  </si>
  <si>
    <t>z0062736</t>
  </si>
  <si>
    <t>z0062737</t>
  </si>
  <si>
    <t>z0062738</t>
  </si>
  <si>
    <t>z0062740</t>
  </si>
  <si>
    <t>z0062742</t>
  </si>
  <si>
    <t>z0062742b</t>
  </si>
  <si>
    <t>z0062743</t>
  </si>
  <si>
    <t>z0062743b</t>
  </si>
  <si>
    <t>z0062744</t>
  </si>
  <si>
    <t>z0062751</t>
  </si>
  <si>
    <t>z0062751b</t>
  </si>
  <si>
    <t>z0062752</t>
  </si>
  <si>
    <t>z0062752b</t>
  </si>
  <si>
    <t>z0062757</t>
  </si>
  <si>
    <t>z0062761</t>
  </si>
  <si>
    <t>z0062761b</t>
  </si>
  <si>
    <t>z0062762</t>
  </si>
  <si>
    <t>z0062763</t>
  </si>
  <si>
    <t>z0062764</t>
  </si>
  <si>
    <t>z0062765</t>
  </si>
  <si>
    <t>z0062766</t>
  </si>
  <si>
    <t>z0062766b</t>
  </si>
  <si>
    <t>z0062767</t>
  </si>
  <si>
    <t>z0062769</t>
  </si>
  <si>
    <t>z0062770</t>
  </si>
  <si>
    <t>z0062771</t>
  </si>
  <si>
    <t>z0062772</t>
  </si>
  <si>
    <t>z0062773</t>
  </si>
  <si>
    <t>z0062775</t>
  </si>
  <si>
    <t>z0062776</t>
  </si>
  <si>
    <t>z0062779</t>
  </si>
  <si>
    <t>z0062780</t>
  </si>
  <si>
    <t>z0062780b</t>
  </si>
  <si>
    <t>z0062783</t>
  </si>
  <si>
    <t>z0062784</t>
  </si>
  <si>
    <t>z0062787</t>
  </si>
  <si>
    <t>z0062787b</t>
  </si>
  <si>
    <t>z0076691</t>
  </si>
  <si>
    <t>z0076691b</t>
  </si>
  <si>
    <t>z0076693</t>
  </si>
  <si>
    <t>z0076695</t>
  </si>
  <si>
    <t>z0076695b</t>
  </si>
  <si>
    <t>z0076697</t>
  </si>
  <si>
    <t>z0076697b</t>
  </si>
  <si>
    <t>z0076699</t>
  </si>
  <si>
    <t>z0076701</t>
  </si>
  <si>
    <t>z0076703</t>
  </si>
  <si>
    <t>z0076705</t>
  </si>
  <si>
    <t>z0076707</t>
  </si>
  <si>
    <t>z0076709</t>
  </si>
  <si>
    <t>z0076711</t>
  </si>
  <si>
    <t>z0076713</t>
  </si>
  <si>
    <t>z0076715</t>
  </si>
  <si>
    <t>z0102589</t>
  </si>
  <si>
    <t>z0102605</t>
  </si>
  <si>
    <t>z0102605b</t>
  </si>
  <si>
    <t>z0102610</t>
  </si>
  <si>
    <t>z0102610b</t>
  </si>
  <si>
    <t>z0102616</t>
  </si>
  <si>
    <t>z0102616b</t>
  </si>
  <si>
    <t>z0102682</t>
  </si>
  <si>
    <t>z0117088</t>
  </si>
  <si>
    <t>z0117088b</t>
  </si>
  <si>
    <t>z0117089</t>
  </si>
  <si>
    <t>z0117094</t>
  </si>
  <si>
    <t>z0117103</t>
  </si>
  <si>
    <t>z0117103b</t>
  </si>
  <si>
    <t>z0134055</t>
  </si>
  <si>
    <t>z0134059</t>
  </si>
  <si>
    <t>z0134061</t>
  </si>
  <si>
    <t>z0134064</t>
  </si>
  <si>
    <t>z0134066</t>
  </si>
  <si>
    <t>z0134070</t>
  </si>
  <si>
    <t>z0134070b</t>
  </si>
  <si>
    <t>z0134074</t>
  </si>
  <si>
    <t>z0134074b</t>
  </si>
  <si>
    <t>z0134087</t>
  </si>
  <si>
    <t>z0134095</t>
  </si>
  <si>
    <t>z0134097</t>
  </si>
  <si>
    <t>z0134098</t>
  </si>
  <si>
    <t>z0134098b</t>
  </si>
  <si>
    <t>z0134101</t>
  </si>
  <si>
    <t>z0134108</t>
  </si>
  <si>
    <t>z0134108b</t>
  </si>
  <si>
    <t>z0134109</t>
  </si>
  <si>
    <t>z0134111</t>
  </si>
  <si>
    <t>z0134112</t>
  </si>
  <si>
    <t>z0134112b</t>
  </si>
  <si>
    <t>z0134113</t>
  </si>
  <si>
    <t>z0134113b</t>
  </si>
  <si>
    <t>z0178009</t>
  </si>
  <si>
    <t>z0178011</t>
  </si>
  <si>
    <t>z0178014</t>
  </si>
  <si>
    <t>z0207730</t>
  </si>
  <si>
    <t>z0207745</t>
  </si>
  <si>
    <t>z0210588</t>
  </si>
  <si>
    <t>z0216904</t>
  </si>
  <si>
    <t>z0216905</t>
  </si>
  <si>
    <t>z0216906</t>
  </si>
  <si>
    <t>z0216907</t>
  </si>
  <si>
    <t>z0216908</t>
  </si>
  <si>
    <t>z0216909</t>
  </si>
  <si>
    <t>z0216910</t>
  </si>
  <si>
    <t>z0216911</t>
  </si>
  <si>
    <t>z0216912</t>
  </si>
  <si>
    <t>z0216913</t>
  </si>
  <si>
    <t>z0216914</t>
  </si>
  <si>
    <t>z0216915</t>
  </si>
  <si>
    <t>z0216916</t>
  </si>
  <si>
    <t>z0216917</t>
  </si>
  <si>
    <t>z0216918</t>
  </si>
  <si>
    <t>z0216919</t>
  </si>
  <si>
    <t>z0216920</t>
  </si>
  <si>
    <t>z0216921</t>
  </si>
  <si>
    <t>z0216922</t>
  </si>
  <si>
    <t>z0216923</t>
  </si>
  <si>
    <t>z0216924</t>
  </si>
  <si>
    <t>z0216925</t>
  </si>
  <si>
    <t>z0216926</t>
  </si>
  <si>
    <t>z0216927</t>
  </si>
  <si>
    <t>z0216928</t>
  </si>
  <si>
    <t>z0216929</t>
  </si>
  <si>
    <t>z0216930</t>
  </si>
  <si>
    <t>z0216931</t>
  </si>
  <si>
    <t>z0216932</t>
  </si>
  <si>
    <t>z0216933</t>
  </si>
  <si>
    <t>z0216934</t>
  </si>
  <si>
    <t>z0216935</t>
  </si>
  <si>
    <t>z0216936</t>
  </si>
  <si>
    <t>z0216937</t>
  </si>
  <si>
    <t>z0216938</t>
  </si>
  <si>
    <t>z0216939</t>
  </si>
  <si>
    <t>z0216940</t>
  </si>
  <si>
    <t>z0216941</t>
  </si>
  <si>
    <t>z0216942</t>
  </si>
  <si>
    <t>z0216943</t>
  </si>
  <si>
    <t>z0216944</t>
  </si>
  <si>
    <t>z0216945</t>
  </si>
  <si>
    <t>z0216946</t>
  </si>
  <si>
    <t>z0216947</t>
  </si>
  <si>
    <t>z0216948</t>
  </si>
  <si>
    <t>NA</t>
  </si>
  <si>
    <t>Species_Code</t>
  </si>
  <si>
    <t>Ocean_Basin</t>
  </si>
  <si>
    <t>Turtle_ID</t>
  </si>
  <si>
    <t>Lab_ID</t>
  </si>
  <si>
    <t>CountOfD_ID</t>
  </si>
  <si>
    <t>Haplotype</t>
  </si>
  <si>
    <t>MsatLoci</t>
  </si>
  <si>
    <t>GTseqCount</t>
  </si>
  <si>
    <t>RaptureCount</t>
  </si>
  <si>
    <t>WGS_post_dup_depth</t>
  </si>
  <si>
    <t>Field_ID</t>
  </si>
  <si>
    <t>Date_Collected</t>
  </si>
  <si>
    <t>Year_collected</t>
  </si>
  <si>
    <t>Month_collected</t>
  </si>
  <si>
    <t>Day_collected</t>
  </si>
  <si>
    <t>Contact</t>
  </si>
  <si>
    <t>Organization</t>
  </si>
  <si>
    <t>Location</t>
  </si>
  <si>
    <t>City</t>
  </si>
  <si>
    <t>State</t>
  </si>
  <si>
    <t>Country</t>
  </si>
  <si>
    <t>Sex</t>
  </si>
  <si>
    <t>Capture_Type</t>
  </si>
  <si>
    <t>Collection_Method</t>
  </si>
  <si>
    <t>Gear_Type</t>
  </si>
  <si>
    <t>Animal_Activity</t>
  </si>
  <si>
    <t>Stage_Class</t>
  </si>
  <si>
    <t>Sample_Type</t>
  </si>
  <si>
    <t>Comments</t>
  </si>
  <si>
    <t>Shared</t>
  </si>
  <si>
    <t>z0012487_Dcor_RunMS77_n0054040_R1.fastq.gz</t>
  </si>
  <si>
    <t>DC</t>
  </si>
  <si>
    <t>South Pacific</t>
  </si>
  <si>
    <t>Dc1.1</t>
  </si>
  <si>
    <t>DAMIEN BRODERICK</t>
  </si>
  <si>
    <t>LITOGHAHIRA, ISABEL PROVINCE</t>
  </si>
  <si>
    <t>SOLOMON ISLANDS</t>
  </si>
  <si>
    <t>F</t>
  </si>
  <si>
    <t>NESTING</t>
  </si>
  <si>
    <t>SKIN</t>
  </si>
  <si>
    <t>z0012498_Dcor_RunMS77_n0054041_R1.fastq.gz</t>
  </si>
  <si>
    <t>Dc9.1</t>
  </si>
  <si>
    <t>z0012501_Dcor_RunMS77_n0054042_R1.fastq.gz</t>
  </si>
  <si>
    <t>Dc5.1</t>
  </si>
  <si>
    <t>SASAKOLO, ISABEL PROVINCE</t>
  </si>
  <si>
    <t>z0012506_Dcor_RunMS77_n0054043_R1.fastq.gz</t>
  </si>
  <si>
    <t>z0012507_Dcor_RunMS77_n0054044_R1.fastq.gz</t>
  </si>
  <si>
    <t>z0012508_Dcor_RunMS77_n0054045_R1.fastq.gz</t>
  </si>
  <si>
    <t>z0012512_Dcor_RunMS77_n0054046_R1.fastq.gz</t>
  </si>
  <si>
    <t>z0012513_Dcor_RunMS77_n0054047_R1.fastq.gz</t>
  </si>
  <si>
    <t>z0012516_Dcor_RunMS77_n0054048_R1.fastq.gz</t>
  </si>
  <si>
    <t>REDO W/DL2&amp;DL4 TO CK G @ 114</t>
  </si>
  <si>
    <t>z0012518_Dcor_RunMS77_n0054049_R1.fastq.gz</t>
  </si>
  <si>
    <t>z0032025_Dcor_RunMS77_n0054288_R1.fastq.gz</t>
  </si>
  <si>
    <t>132335310A</t>
  </si>
  <si>
    <t>PETER DUTTON</t>
  </si>
  <si>
    <t>LABABIA</t>
  </si>
  <si>
    <t>PAPUA NEW GUINEA</t>
  </si>
  <si>
    <t>SKIN/FTA</t>
  </si>
  <si>
    <t>1 SKIN DMSO/1 ISOTOPE</t>
  </si>
  <si>
    <t>z0032028_Dcor_RunMS77_n0054289_R1.fastq.gz</t>
  </si>
  <si>
    <t>126428778A</t>
  </si>
  <si>
    <t>z0061449_Dcor_RunMS77_n0054372_R1.fastq.gz</t>
  </si>
  <si>
    <t>132268660A</t>
  </si>
  <si>
    <t>12/??/2006</t>
  </si>
  <si>
    <t>SKIN SPLIT FOR ISOTOPE ANALYSIS</t>
  </si>
  <si>
    <t>NO</t>
  </si>
  <si>
    <t>z0061450_Dcor_RunMS77_n0054373_R1.fastq.gz</t>
  </si>
  <si>
    <t>132144717A</t>
  </si>
  <si>
    <t>SASAKOLO</t>
  </si>
  <si>
    <t>ISABEL</t>
  </si>
  <si>
    <t>z0061452_Dcor_RunMS77_n0054374_R1.fastq.gz</t>
  </si>
  <si>
    <t>132339562A</t>
  </si>
  <si>
    <t>LITOGHAHIRA</t>
  </si>
  <si>
    <t>z061452b_Dcor_RunMS77_n0054375_R1.fastq.gz</t>
  </si>
  <si>
    <t>z0061453_Dcor_RunMS77_n0054376_R1.fastq.gz</t>
  </si>
  <si>
    <t>Dc1.4</t>
  </si>
  <si>
    <t>132231273A/PTT#16131/R25771/R25772</t>
  </si>
  <si>
    <t>z0061455_Dcor_RunMS77_n0054377_R1.fastq.gz</t>
  </si>
  <si>
    <t>132339562A/UNTAGGED GIANT</t>
  </si>
  <si>
    <t>UNTAGGED GIANT- CHECK PIT #/ SKIN SPLIT FOR ISOTOPE ANALYSIS. TURTLE ID CHANGED FROM 23111 BASED ON FIELD ID.</t>
  </si>
  <si>
    <t>z0061459_Dcor_RunMS77_n0054378_R1.fastq.gz</t>
  </si>
  <si>
    <t>132353392A</t>
  </si>
  <si>
    <t>z0061461_Dcor_RunMS77_n0054379_R1.fastq.gz</t>
  </si>
  <si>
    <t>R25777/R25778/PTT#5399</t>
  </si>
  <si>
    <t>z0061462_Dcor_RunMS77_n0054380_R1.fastq.gz</t>
  </si>
  <si>
    <t>132244662A/PTT#5397</t>
  </si>
  <si>
    <t>z0062632_Dcor_RunMS77_n0054381_R1.fastq.gz</t>
  </si>
  <si>
    <t>123839674A/144 - 111</t>
  </si>
  <si>
    <t>TETHA HITIPEUW</t>
  </si>
  <si>
    <t>WARMON</t>
  </si>
  <si>
    <t>WEST PAPUA</t>
  </si>
  <si>
    <t>INDONESIA</t>
  </si>
  <si>
    <t>WERMON WINTER (AS PER P.DUTTON 3/17/2021)</t>
  </si>
  <si>
    <t>z0062684_Dcor_RunMS77_n0054382_R1.fastq.gz</t>
  </si>
  <si>
    <t>126521497A/165 - 112</t>
  </si>
  <si>
    <t>z0062686_Dcor_RunMS77_n0054383_R1.fastq.gz</t>
  </si>
  <si>
    <t>131671790A/142 - 103</t>
  </si>
  <si>
    <t>z0062690_Dcor_RunMS77_n0054384_R1.fastq.gz</t>
  </si>
  <si>
    <t>131731480A/139 - 99</t>
  </si>
  <si>
    <t>z0062691_Dcor_RunMS77_n0054385_R1.fastq.gz</t>
  </si>
  <si>
    <t>131735463A</t>
  </si>
  <si>
    <t>z0062692_Dcor_RunMS77_n0054386_R1.fastq.gz</t>
  </si>
  <si>
    <t>132115121A</t>
  </si>
  <si>
    <t>z0062693_Dcor_RunMS77_n0054387_R1.fastq.gz</t>
  </si>
  <si>
    <t>132116253A</t>
  </si>
  <si>
    <t>z0062694_Dcor_RunMS77_n0054388_R1.fastq.gz</t>
  </si>
  <si>
    <t>132117357A/163 - 117</t>
  </si>
  <si>
    <t>z062694b_Dcor_RunMS77_n0054389_R1.fastq.gz</t>
  </si>
  <si>
    <t>z0062697_Dcor_RunMS77_n0054390_R1.fastq.gz</t>
  </si>
  <si>
    <t>Dc4.1</t>
  </si>
  <si>
    <t>132127327A</t>
  </si>
  <si>
    <t>z0062700_Dcor_RunMS77_n0054391_R1.fastq.gz</t>
  </si>
  <si>
    <t>132129291A</t>
  </si>
  <si>
    <t>z0062701_Dcor_RunMS77_n0054392_R1.fastq.gz</t>
  </si>
  <si>
    <t>132129597A</t>
  </si>
  <si>
    <t>z0062702_Dcor_RunMS77_n0054393_R1.fastq.gz</t>
  </si>
  <si>
    <t>132131661A</t>
  </si>
  <si>
    <t>z0062704_Dcor_RunMS77_n0054394_R1.fastq.gz</t>
  </si>
  <si>
    <t>132133122A</t>
  </si>
  <si>
    <t>z0062707_Dcor_RunMS77_n0054395_R1.fastq.gz</t>
  </si>
  <si>
    <t>132135732A/145 - 109</t>
  </si>
  <si>
    <t>z0062708_Dcor_RunMS77_n0054396_R1.fastq.gz</t>
  </si>
  <si>
    <t>132136361A</t>
  </si>
  <si>
    <t>z0062709_Dcor_RunMS77_n0054397_R1.fastq.gz</t>
  </si>
  <si>
    <t>132137162A</t>
  </si>
  <si>
    <t>z0062710_Dcor_RunMS77_n0054398_R1.fastq.gz</t>
  </si>
  <si>
    <t>132137791A/145 - 105</t>
  </si>
  <si>
    <t>z062712b_Dcor_RunMS77_n0054400_R1.fastq.gz</t>
  </si>
  <si>
    <t>132145223A/161 - 114</t>
  </si>
  <si>
    <t>z0062712_Dcor_RunMS77_n0054399_R1.fastq.gz</t>
  </si>
  <si>
    <t>z0062715_Dcor_RunMS77_n0054401_R1.fastq.gz</t>
  </si>
  <si>
    <t>132148093A/160 - 116</t>
  </si>
  <si>
    <t>z0062716_Dcor_RunMS77_n0054402_R1.fastq.gz</t>
  </si>
  <si>
    <t>132149121A/160 - 112</t>
  </si>
  <si>
    <t>z0062717_Dcor_RunMS77_n0054403_R1.fastq.gz</t>
  </si>
  <si>
    <t>132149325A/159 - 112</t>
  </si>
  <si>
    <t>z0062718_Dcor_RunMS77_n0054404_R1.fastq.gz</t>
  </si>
  <si>
    <t>132151137A/159 - 114</t>
  </si>
  <si>
    <t>z0062720_Dcor_RunMS77_n0054405_R1.fastq.gz</t>
  </si>
  <si>
    <t>Dc14.1</t>
  </si>
  <si>
    <t>132152113A</t>
  </si>
  <si>
    <t>z0062721_Dcor_RunMS77_n0054406_R1.fastq.gz</t>
  </si>
  <si>
    <t>132152135A/186 - 128</t>
  </si>
  <si>
    <t>z0062724_Dcor_RunMS77_n0054407_R1.fastq.gz</t>
  </si>
  <si>
    <t>132154332A/150 - 105</t>
  </si>
  <si>
    <t>z0062725_Dcor_RunMS77_n0054408_R1.fastq.gz</t>
  </si>
  <si>
    <t>132154664A</t>
  </si>
  <si>
    <t>01/??/2006</t>
  </si>
  <si>
    <t>z062726b_Dcor_RunMS77_n0054410_R1.fastq.gz</t>
  </si>
  <si>
    <t>132156130A/164 - 121</t>
  </si>
  <si>
    <t>z0062726_Dcor_RunMS77_n0054409_R1.fastq.gz</t>
  </si>
  <si>
    <t>z0062727_Dcor_RunMS77_n0054411_R1.fastq.gz</t>
  </si>
  <si>
    <t>132156261A</t>
  </si>
  <si>
    <t>z0062729_Dcor_RunMS77_n0054412_R1.fastq.gz</t>
  </si>
  <si>
    <t>132162310A</t>
  </si>
  <si>
    <t>z0062730_Dcor_RunMS77_n0054413_R1.fastq.gz</t>
  </si>
  <si>
    <t>132162464A/164 - 115</t>
  </si>
  <si>
    <t>z0062731_Dcor_RunMS77_n0054414_R1.fastq.gz</t>
  </si>
  <si>
    <t>132162562A/147 - 103</t>
  </si>
  <si>
    <t>z0062735_Dcor_RunMS77_n0054415_R1.fastq.gz</t>
  </si>
  <si>
    <t>132166211A/176 - 118</t>
  </si>
  <si>
    <t>z0062736_Dcor_RunMS77_n0054416_R1.fastq.gz</t>
  </si>
  <si>
    <t>132168553A/180 - 122</t>
  </si>
  <si>
    <t>z0062738_Dcor_RunMS77_n0054417_R1.fastq.gz</t>
  </si>
  <si>
    <t>132175162A/163 - 118</t>
  </si>
  <si>
    <t>z0062740_Dcor_RunMS77_n0054418_R1.fastq.gz</t>
  </si>
  <si>
    <t>132176135A</t>
  </si>
  <si>
    <t>z0062744_Dcor_RunMS77_n0054419_R1.fastq.gz</t>
  </si>
  <si>
    <t>132215163A</t>
  </si>
  <si>
    <t>z0062751_Dcor_RunMS77_n0054420_R1.fastq.gz</t>
  </si>
  <si>
    <t>132221315A/163 - 108</t>
  </si>
  <si>
    <t>z062751b_Dcor_RunMS77_n0054421_R1.fastq.gz</t>
  </si>
  <si>
    <t>z0062757_Dcor_RunMS77_n0054422_R1.fastq.gz</t>
  </si>
  <si>
    <t>132232365A/151 - 115</t>
  </si>
  <si>
    <t>z0062762_Dcor_RunMS77_n0054423_R1.fastq.gz</t>
  </si>
  <si>
    <t>132247456A</t>
  </si>
  <si>
    <t>z0062763_Dcor_RunMS77_n0054424_R1.fastq.gz</t>
  </si>
  <si>
    <t>132247492A</t>
  </si>
  <si>
    <t>z0062764_Dcor_RunMS77_n0054425_R1.fastq.gz</t>
  </si>
  <si>
    <t>132248350A</t>
  </si>
  <si>
    <t>z0062765_Dcor_RunMS77_n0054426_R1.fastq.gz</t>
  </si>
  <si>
    <t>132252354A/158 - 110</t>
  </si>
  <si>
    <t>z0062767_Dcor_RunMS77_n0054427_R1.fastq.gz</t>
  </si>
  <si>
    <t>132255623A/161 - 114</t>
  </si>
  <si>
    <t>z0062769_Dcor_RunMS77_n0054428_R1.fastq.gz</t>
  </si>
  <si>
    <t>132262660A</t>
  </si>
  <si>
    <t>z0062770_Dcor_RunMS77_n0054429_R1.fastq.gz</t>
  </si>
  <si>
    <t>132263753A/157 - 112</t>
  </si>
  <si>
    <t>z0062771_Dcor_RunMS77_n0054430_R1.fastq.gz</t>
  </si>
  <si>
    <t>132264332A/160 - 109</t>
  </si>
  <si>
    <t>z0062772_Dcor_RunMS77_n0054431_R1.fastq.gz</t>
  </si>
  <si>
    <t>132266340A/165 - 115</t>
  </si>
  <si>
    <t>z0062773_Dcor_RunMS77_n0054432_R1.fastq.gz</t>
  </si>
  <si>
    <t>132269113A</t>
  </si>
  <si>
    <t>z0062775_Dcor_RunMS77_n0054433_R1.fastq.gz</t>
  </si>
  <si>
    <t>132272252A</t>
  </si>
  <si>
    <t>02/??/2006</t>
  </si>
  <si>
    <t>z0062776_Dcor_RunMS77_n0054434_R1.fastq.gz</t>
  </si>
  <si>
    <t>132275226A/163 - 110</t>
  </si>
  <si>
    <t>z0062779_Dcor_RunMS77_n0054435_R1.fastq.gz</t>
  </si>
  <si>
    <t>132276734A/148 - 105</t>
  </si>
  <si>
    <t>z062780b_Dcor_RunMS77_n0054437_R1.fastq.gz</t>
  </si>
  <si>
    <t>132309331A</t>
  </si>
  <si>
    <t>z0062780_Dcor_RunMS77_n0054436_R1.fastq.gz</t>
  </si>
  <si>
    <t>z0062783_Dcor_RunMS77_n0054438_R1.fastq.gz</t>
  </si>
  <si>
    <t>132312126A</t>
  </si>
  <si>
    <t>z0062784_Dcor_RunMS77_n0054439_R1.fastq.gz</t>
  </si>
  <si>
    <t>132313137A/181 - 124</t>
  </si>
  <si>
    <t>z0216932_Dcor_RunMS77_n0054241_R1.fastq.gz</t>
  </si>
  <si>
    <t>N87475/982 091 062 448 428/R58655/R58656</t>
  </si>
  <si>
    <t>Simon Vuto</t>
  </si>
  <si>
    <t>Nature Conservancy</t>
  </si>
  <si>
    <t>SASAKOLO NESTING BEACH, SOLOMONS ISLAND, SOLOMON ISLANDS</t>
  </si>
  <si>
    <t>ADULT</t>
  </si>
  <si>
    <t>21 FEBRUARY 2024: ATTEMPTED TO RECEIVE ADDITIONAL DATA ON ISLANDS AND LAT/LONGS WITH NO SUCCESS.</t>
  </si>
  <si>
    <t>z0216933_Dcor_RunMS77_n0054242_R1.fastq.gz</t>
  </si>
  <si>
    <t>N87456/982 091 062 451 823/R58662/R58663</t>
  </si>
  <si>
    <t>z0216934_Dcor_RunMS77_n0054243_R1.fastq.gz</t>
  </si>
  <si>
    <t>982 091 062 449 141/982 091 062 449 141/R58665/R59664</t>
  </si>
  <si>
    <t>z0216935_Dcor_RunMS77_n0054244_R1.fastq.gz</t>
  </si>
  <si>
    <t>N 87455/982 091 062 451 622/R58668/R58669</t>
  </si>
  <si>
    <t>z0216936_Dcor_RunMS77_n0054245_R1.fastq.gz</t>
  </si>
  <si>
    <t>Dc8.1</t>
  </si>
  <si>
    <t>N87472/982 091 062 449 156/R58673/R58674</t>
  </si>
  <si>
    <t>z0216937_Dcor_RunMS77_n0054246_R1.fastq.gz</t>
  </si>
  <si>
    <t>N87489/982 091 062 451 565/R58674/R58675</t>
  </si>
  <si>
    <t>z0216938_Dcor_RunMS77_n0054247_R1.fastq.gz</t>
  </si>
  <si>
    <t>N87257/982 091 062 449 339/R58682/R58683</t>
  </si>
  <si>
    <t>z0216939_Dcor_RunMS77_n0054248_R1.fastq.gz</t>
  </si>
  <si>
    <t>9014/982 091 062 450 826/R58686/R58687</t>
  </si>
  <si>
    <t>z0216940_Dcor_RunMS77_n0054249_R1.fastq.gz</t>
  </si>
  <si>
    <t>9013/982 091 062 451 208/R58688/R58689</t>
  </si>
  <si>
    <t>z0216941_Dcor_RunMS77_n0054250_R1.fastq.gz</t>
  </si>
  <si>
    <t>N87499/982 091 062 451 877/R58690/R58691</t>
  </si>
  <si>
    <t>z0216942_Dcor_RunMS77_n0054251_R1.fastq.gz</t>
  </si>
  <si>
    <t>9129/982 091 062 451 670/R58692/R58693</t>
  </si>
  <si>
    <t>z0216943_Dcor_RunMS77_n0054252_R1.fastq.gz</t>
  </si>
  <si>
    <t>151962346A/151962346A/R57540/R57541</t>
  </si>
  <si>
    <t>??/??/????</t>
  </si>
  <si>
    <t>HAEVO NESTING BEACH, SOLOMONS ISLAND, SOLOMON ISLANDS</t>
  </si>
  <si>
    <t>21 FEBRUARY 2024: ATTEMPTED TO RECEIVE ADDITIONAL DATA ON ISLANDS AND LAT/LONGS WITH NO SUCCESS. WE RECEIVED 3 VIALS FROM 2 DATES FOR THIS TURTLE. THIS SAMPLE IS EITHER FROM 19 DECEMBER 2020 OR 29 NOVEMBER 2022, BUT THE VIALS DOES NOT PROVIDE ENOUGH INFORMATION TO DIFFERENTIATE THE TWO SAMPLES. REACHED OUT TO CONTRIBUTOR FOR HELP DIFFERENTIATING THE VIALS BASED ON LABEL TYPES, BUT RECEIVED NO RESPONSE. ALL HAVE BEEN ACCESSIONED AS SEPARATE COLLECTION EVENTS, BECAUSE THERE'S NO WAY TO TELL WHICH OF THE 3 WERE COLLECTED THE SAME DAY.</t>
  </si>
  <si>
    <t>z0216944_Dcor_RunMS77_n0054253_R1.fastq.gz</t>
  </si>
  <si>
    <t>982 000 364 267 682/982 000 364 267 682/R54902/R54903</t>
  </si>
  <si>
    <t>21 FEBRUARY 2024: ATTEMPTED TO RECEIVE ADDITIONAL DATA ON ISLANDS AND LAT/LONGS WITH NO SUCCESS. THIS SAMPLE IS EITHER FROM 21 JANUARY 2021 OR 1 DECEMBER 2022, BUT THE VIALS DOES NOT PROVIDE ENOUGH INFORMATION TO DIFFERENTIATE THE TWO SAMPLES. REACHED OUT TO CONTRIBUTOR FOR HELP DIFFERENTIATING THE VIALS BASED ON LABEL TYPES, BUT RECEIVED NO RESPONSE. SCL IS 162 OR 164.</t>
  </si>
  <si>
    <t>z0216945_Dcor_RunMS77_n0054254_R1.fastq.gz</t>
  </si>
  <si>
    <t>982 091 062 451 463/982 091 062 451 463/R52103/R57539</t>
  </si>
  <si>
    <t>z0216946_Dcor_RunMS77_n0054255_R1.fastq.gz</t>
  </si>
  <si>
    <t>982 000 407 601 549/982 000 407 601 549/R57111/R57545</t>
  </si>
  <si>
    <t>21 FEBRUARY 2024: ATTEMPTED TO RECEIVE ADDITIONAL DATA ON ISLANDS AND LAT/LONGS WITH NO SUCCESS. THIS SAMPLE IS EITHER FROM 30 NOVEMBER 2020 OR 4 DECEMBER 2022, BUT THE VIALS DOES NOT PROVIDE ENOUGH INFORMATION TO DIFFERENTIATE THE TWO SAMPLES. REACHED OUT TO CONTRIBUTOR FOR HELP DIFFERENTIATING THE VIALS BASED ON LABEL TYPES, BUT RECEIVED NO RESPONSE.</t>
  </si>
  <si>
    <t>z0216947_Dcor_RunMS77_n0054256_R1.fastq.gz</t>
  </si>
  <si>
    <t>982 000 062 451 833/982 000 062 451 833/R57501/R57502</t>
  </si>
  <si>
    <t>z0216948_Dcor_RunMS77_n0054257_R1.fastq.gz</t>
  </si>
  <si>
    <t>151 961 074A/151 961 074A/R57082/R57544</t>
  </si>
  <si>
    <t>01/??/????</t>
  </si>
  <si>
    <t>21 FEBRUARY 2024: ATTEMPTED TO RECEIVE ADDITIONAL DATA ON ISLANDS AND LAT/LONGS WITH NO SUCCESS. THIS SAMPLE IS EITHER FROM 4 JANUARY 2021 OR 9 JANUARY 2023, BUT THE VIALS DOES NOT PROVIDE ENOUGH INFORMATION TO DIFFERENTIATE THE TWO SAMPLES. REACHED OUT TO CONTRIBUTOR FOR HELP DIFFERENTIATING THE VIALS BASED ON LABEL TYPES, BUT RECEIVED NO RESPONSE. SCL IS 164 OR 165.</t>
  </si>
  <si>
    <t>ID</t>
  </si>
  <si>
    <t>Island</t>
  </si>
  <si>
    <t>County</t>
  </si>
  <si>
    <t>Vial_Size</t>
  </si>
  <si>
    <t>DNA_Conc</t>
  </si>
  <si>
    <t>FreezerBox_DNA</t>
  </si>
  <si>
    <t>SCL</t>
  </si>
  <si>
    <t>SCW</t>
  </si>
  <si>
    <t>CCL</t>
  </si>
  <si>
    <t>CCW</t>
  </si>
  <si>
    <t>Plastron_To_Vent_cm</t>
  </si>
  <si>
    <t>Weight</t>
  </si>
  <si>
    <t>Water_Temperature_C</t>
  </si>
  <si>
    <t>EditDate</t>
  </si>
  <si>
    <t>Edit_User</t>
  </si>
  <si>
    <t>RecordCreationDate</t>
  </si>
  <si>
    <t>BLOOD</t>
  </si>
  <si>
    <t>2.0 ML</t>
  </si>
  <si>
    <t>NMFS\dan.prosperi</t>
  </si>
  <si>
    <t>REDO W/DL2 TO CK A @ 225</t>
  </si>
  <si>
    <t>U</t>
  </si>
  <si>
    <t>FORAGING</t>
  </si>
  <si>
    <t>IN-WATER</t>
  </si>
  <si>
    <t>N</t>
  </si>
  <si>
    <t>126412492A</t>
  </si>
  <si>
    <t>126337752A</t>
  </si>
  <si>
    <t>126455296A</t>
  </si>
  <si>
    <t>126322395A</t>
  </si>
  <si>
    <t>126421133A</t>
  </si>
  <si>
    <t>126346756A</t>
  </si>
  <si>
    <t>126321314A</t>
  </si>
  <si>
    <t>CREUSA HITIPEUW</t>
  </si>
  <si>
    <t>BATURUMAH, JAMURSBA MEDI</t>
  </si>
  <si>
    <t>136176321A</t>
  </si>
  <si>
    <t>WEMBRAK, JAMURSBA MEDI</t>
  </si>
  <si>
    <t>123738365A</t>
  </si>
  <si>
    <t>123659223A</t>
  </si>
  <si>
    <t>123666140A</t>
  </si>
  <si>
    <t>126245312A</t>
  </si>
  <si>
    <t>WARMAMEDI, JAMURSBA MEDI</t>
  </si>
  <si>
    <t>126522396A</t>
  </si>
  <si>
    <t>126513520A</t>
  </si>
  <si>
    <t>126347243A</t>
  </si>
  <si>
    <t>JAMURSBA MEDI</t>
  </si>
  <si>
    <t>SKIN/BLOOD</t>
  </si>
  <si>
    <t>MMD ARCHIVE 2ML/TURTLE INDEX</t>
  </si>
  <si>
    <t>123727494A</t>
  </si>
  <si>
    <t>126351526A</t>
  </si>
  <si>
    <t>126428333A</t>
  </si>
  <si>
    <t>126346365A</t>
  </si>
  <si>
    <t>LB-054/LB-053/132132530A/132271454A</t>
  </si>
  <si>
    <t>MONTEREY BAY</t>
  </si>
  <si>
    <t>CALIFORNIA</t>
  </si>
  <si>
    <t>UNITED STATES OF AMERICA</t>
  </si>
  <si>
    <t>SKIN/BLOOD/SERUM</t>
  </si>
  <si>
    <t>MMD ARCHIVE 0.2ML/TURTLE -80</t>
  </si>
  <si>
    <t>PAT #40668, SSC3 #15389/1RBC/1SKIN/2 ACD SERUM/1 PURE SERUM; CAPTURE TYPE WAS: FORAGING</t>
  </si>
  <si>
    <t>132257285A</t>
  </si>
  <si>
    <t>KAMIALI</t>
  </si>
  <si>
    <t>123668283A</t>
  </si>
  <si>
    <t>MMD ARCHIVE 0.2ML/TURTLE INDEX</t>
  </si>
  <si>
    <t>126521490A</t>
  </si>
  <si>
    <t>123916766A/158 - 113</t>
  </si>
  <si>
    <t>123644625A/157 - 115</t>
  </si>
  <si>
    <t>126477611A/152 - 109</t>
  </si>
  <si>
    <t>132316640A/150 - 109</t>
  </si>
  <si>
    <t>NMFS\Erin.LaCasella</t>
  </si>
  <si>
    <t>132173377A/153 - 110</t>
  </si>
  <si>
    <t>131726732A/156 - 111</t>
  </si>
  <si>
    <t>132213347A/146 - 109</t>
  </si>
  <si>
    <t>132221690A/159 - 114</t>
  </si>
  <si>
    <t>123776680A/156 - 113</t>
  </si>
  <si>
    <t>123911734A / PIT 61720</t>
  </si>
  <si>
    <t>126512710A / PIT 61715</t>
  </si>
  <si>
    <t>132272111A/PTT#5398/R25755/R25756</t>
  </si>
  <si>
    <t>SKIN SPLIT FOR ISOTOPE ANALYSIS/ FIRST TURTLE SAMPLED</t>
  </si>
  <si>
    <t>132117796A/PTT#15389/R25779/R25780</t>
  </si>
  <si>
    <t>132259231A</t>
  </si>
  <si>
    <t>132214611A/154 - 114</t>
  </si>
  <si>
    <t>132235456A</t>
  </si>
  <si>
    <t>132252647A</t>
  </si>
  <si>
    <t>126311117A</t>
  </si>
  <si>
    <t>SCOTT BENSON</t>
  </si>
  <si>
    <t>TRANSMITTER#72487</t>
  </si>
  <si>
    <t>126516620A</t>
  </si>
  <si>
    <t>TRANSMITTER#72488</t>
  </si>
  <si>
    <t>126409694A</t>
  </si>
  <si>
    <t>TRANSMITTER#72491</t>
  </si>
  <si>
    <t>126338362A</t>
  </si>
  <si>
    <t>TRANSMITTER#72486</t>
  </si>
  <si>
    <t>126435145A</t>
  </si>
  <si>
    <t>TRANSMITTER#24646</t>
  </si>
  <si>
    <t>126275112A</t>
  </si>
  <si>
    <t>TRANSMITTER#72484</t>
  </si>
  <si>
    <t>126518693A</t>
  </si>
  <si>
    <t>TRANSMITTER#40671</t>
  </si>
  <si>
    <t>126236355A</t>
  </si>
  <si>
    <t>TRANSMITTER#40673</t>
  </si>
  <si>
    <t>126409634A</t>
  </si>
  <si>
    <t>TRANSMITTER#40672</t>
  </si>
  <si>
    <t>126335766A</t>
  </si>
  <si>
    <t>TRANSMITTER#23662</t>
  </si>
  <si>
    <t>126332251A</t>
  </si>
  <si>
    <t>TRANSMITTER#61714</t>
  </si>
  <si>
    <t>126235453A</t>
  </si>
  <si>
    <t>TRANSMITTER#72489</t>
  </si>
  <si>
    <t>126335377A</t>
  </si>
  <si>
    <t>TRANSMITTER#23661</t>
  </si>
  <si>
    <t>RICKY TAPILATU</t>
  </si>
  <si>
    <t>JAMURSBA MEDI, WEMBRAK</t>
  </si>
  <si>
    <t>JAMURSBA MEDI, WARMAMEDI</t>
  </si>
  <si>
    <t>126412154A</t>
  </si>
  <si>
    <t>Deasy Lontoh</t>
  </si>
  <si>
    <t>JAMURSBA MEDI AREA, BATU RUMAH BEACH, SECTOR 192-193</t>
  </si>
  <si>
    <t>126409283A</t>
  </si>
  <si>
    <t>JAMURSBA MEDI AREA, WARMAMEDI BEACH, SECTOR 278-279</t>
  </si>
  <si>
    <t>123735443A</t>
  </si>
  <si>
    <t>JAMURSBA MEDI AREA, BATU RUMAH BEACH, SECTOR 174-175</t>
  </si>
  <si>
    <t>126335350A</t>
  </si>
  <si>
    <t>JAMURSBA MEDI AREA, WARMAMEDI BEACH, SECTOR 271-272</t>
  </si>
  <si>
    <t>123732630A</t>
  </si>
  <si>
    <t>JAMURSBA MEDI AREA, WEMBRAK BEACH, SECTOR 34-35</t>
  </si>
  <si>
    <t>126518173A</t>
  </si>
  <si>
    <t>JAMURSBA MEDI AREA, WEMBRAK BEACH, SECTOR 30-31</t>
  </si>
  <si>
    <t>132271244A</t>
  </si>
  <si>
    <t>WERMON AREA, WERMON BEACH, SECTOR 49-50</t>
  </si>
  <si>
    <t>WERMON SUMMER (AS PER P.DUTTON 3/17/2021)</t>
  </si>
  <si>
    <t>126518364A</t>
  </si>
  <si>
    <t>JAMURSBA MEDI AREA, WEMBRAK BEACH, SECTOR 42-43</t>
  </si>
  <si>
    <t>126411624A</t>
  </si>
  <si>
    <t>JAMURSBA MEDI AREA, WARMAMEDI BEACH, SECTOR 305-306</t>
  </si>
  <si>
    <t>123746215A</t>
  </si>
  <si>
    <t>JAMURSBA MEDI AREA, WARMAMEDI BEACH, SECTOR 291-292</t>
  </si>
  <si>
    <t>126422762A</t>
  </si>
  <si>
    <t>JAMURSBA MEDI AREA, BATU RUMAH BEACH, SECTOR 150-151</t>
  </si>
  <si>
    <t>126476643A</t>
  </si>
  <si>
    <t>JAMURSBA MEDIA AREA, WARMAMEDI BEACH, SECTOR 266-267</t>
  </si>
  <si>
    <t>126511796A</t>
  </si>
  <si>
    <t>JAMURSBA MEDI AREA, WARMAMEDI BEACH, SECTOR 286-287</t>
  </si>
  <si>
    <t>132261652A</t>
  </si>
  <si>
    <t>JAMURSBA MEDI AREA, WARMAMEDI BEACH, SECTOR 302-303</t>
  </si>
  <si>
    <t>126246643A</t>
  </si>
  <si>
    <t>JAMURSBA MEDI AREA, WARMAMEDI BEACH, SECTOR 293-294</t>
  </si>
  <si>
    <t>126435462A</t>
  </si>
  <si>
    <t>JAMURSBA MEDI AREA, WARMAMEDI BEACH, SECTOR 280-281</t>
  </si>
  <si>
    <t>123872111A</t>
  </si>
  <si>
    <t>JAMURSBA MEDI AREA, WARMAMEDI BEACH, SECTOR 300-301</t>
  </si>
  <si>
    <t>STRANDING</t>
  </si>
  <si>
    <t>MC440/152205510A/123656655A</t>
  </si>
  <si>
    <t>MONTARA</t>
  </si>
  <si>
    <t>HOOP NET</t>
  </si>
  <si>
    <t>MC428/132217296A/132134177A</t>
  </si>
  <si>
    <t>DEVIL'S SLIDE</t>
  </si>
  <si>
    <t>MC432/MC431/152204575A/152205576A</t>
  </si>
  <si>
    <t>M</t>
  </si>
  <si>
    <t>NICKNAME "BOOKER"</t>
  </si>
  <si>
    <t>MC469/132232691A</t>
  </si>
  <si>
    <t>PACIFICA, CA</t>
  </si>
  <si>
    <t>Pacifica</t>
  </si>
  <si>
    <t>San Mateo</t>
  </si>
  <si>
    <t>982 000 407 597 517/982 000 407 597 517/R52079/R52080</t>
  </si>
  <si>
    <t>982 000 407 601 150/9245/982 000 407 601 150/R52080/R52094</t>
  </si>
  <si>
    <t>982 000 167 830 032/9024/982 000 167 830 032/R52083/R52084</t>
  </si>
  <si>
    <t>982 000 407 596 918/982 000 407 596 918/R57106/R57107</t>
  </si>
  <si>
    <t>982 000 407 598 098/982 000 407 598 098/R57103/R57104</t>
  </si>
  <si>
    <t>982 000 407 597 554/982 000 407 597 554/R57113/R57114</t>
  </si>
  <si>
    <t>982 000 407 597 377/982 000 407 597 377/R57115/R57116</t>
  </si>
  <si>
    <t>982 000 407 601 256/982 000 407 601 256/R52067/R52068</t>
  </si>
  <si>
    <t>982 000 167 843 739/982 000 167 843 739/R57078/R57079</t>
  </si>
  <si>
    <t>982 000 167 796 735/982 000 167 796 735/R57122/R57123</t>
  </si>
  <si>
    <t>982 000 407 598 556/982 000 407 598 556/R57126/R57127</t>
  </si>
  <si>
    <t>982 000 188 911 767/982 000 188 911 767/R57086/R57087</t>
  </si>
  <si>
    <t>982 000 407 601 088/982 000 407 601 088/R57088/R57089</t>
  </si>
  <si>
    <t>151 959 216A/151 959 216A/R57080/R57081</t>
  </si>
  <si>
    <t>982 000 407 601 272/982 000 407 601 272/R57130/R57131</t>
  </si>
  <si>
    <t>982 000 407 601 089/982 000 407 601 089/R57132/R57133</t>
  </si>
  <si>
    <t>MC429/MC430/Bumpy/132173792A left/ 132127161A right</t>
  </si>
  <si>
    <t>HALF MOON BAY, CALIFORNIA, UNITED STATES OF AMERICA</t>
  </si>
  <si>
    <t>Half Moon Bay</t>
  </si>
  <si>
    <t>DIPNET</t>
  </si>
  <si>
    <t>NOTES FROM CONTRIBUTOR: "[ORIGINALLY] CAPTURED 9/25/2016 IN HALF MOON BAY (FIELD ID MC-430 "BUMPY"), LEFT FLIPPER TAG MC-430 TORN OUT WHEN RECAPTURED IN 2021."</t>
  </si>
  <si>
    <t>N87505/982 091 062 449 546/R58653/R58654</t>
  </si>
  <si>
    <t>982 091 062 451 483/982 091 062 451 483/R52127/R52128</t>
  </si>
  <si>
    <t>982 091 062 450 362/982 091 062 450 362/R57527/R57528</t>
  </si>
  <si>
    <t>982 091 062 448 645/982 091 062 448 645/R57068/R57069</t>
  </si>
  <si>
    <t>982 091 062 449 290/982 091 062 449 290/R57530/R57531</t>
  </si>
  <si>
    <t>982 091 062 450 544/982 091 062 450 544/R57532/R57533</t>
  </si>
  <si>
    <t>July/MC-467</t>
  </si>
  <si>
    <t>Southwest Fisheries Science Center</t>
  </si>
  <si>
    <t>~6 MILES OVER MONTEREY CANYON, OFF MOSS LANDING, MONTEREY BAY</t>
  </si>
  <si>
    <t>Moss Landing</t>
  </si>
  <si>
    <t>Monterey</t>
  </si>
  <si>
    <t>982 091 062 450 760/982 091 062 450 760/R57476/R57477</t>
  </si>
  <si>
    <t>Unknown_DC_1</t>
  </si>
  <si>
    <t>KEI ISLANDS</t>
  </si>
  <si>
    <t>Kepulauan Kai</t>
  </si>
  <si>
    <t>UNKNOWN</t>
  </si>
  <si>
    <t>VIALS SMUGGED, WWF COLLECTED, REPRESENTS FORAGING POPULATION PER PD</t>
  </si>
  <si>
    <t>Unknown_DC_2</t>
  </si>
  <si>
    <t>Unknown_DC_7</t>
  </si>
  <si>
    <t>Unknown_DC_16</t>
  </si>
  <si>
    <t>DC36</t>
  </si>
  <si>
    <t>MALAYSIA</t>
  </si>
  <si>
    <t>HATCHLING</t>
  </si>
  <si>
    <t>DNA ONLY; CAPTURE_TYPE WAS: UNKNOWN</t>
  </si>
  <si>
    <t>DC37</t>
  </si>
  <si>
    <t>DC38</t>
  </si>
  <si>
    <t>DC39</t>
  </si>
  <si>
    <t>DC40</t>
  </si>
  <si>
    <t>DC41</t>
  </si>
  <si>
    <t>DC42</t>
  </si>
  <si>
    <t>PNG-DC</t>
  </si>
  <si>
    <t>CLONE 9</t>
  </si>
  <si>
    <t>TS436</t>
  </si>
  <si>
    <t>TS437</t>
  </si>
  <si>
    <t>TS438</t>
  </si>
  <si>
    <t>CLONE 8</t>
  </si>
  <si>
    <t>TS439</t>
  </si>
  <si>
    <t>CLONE 1</t>
  </si>
  <si>
    <t>TS440</t>
  </si>
  <si>
    <t>TS441</t>
  </si>
  <si>
    <t>TS443</t>
  </si>
  <si>
    <t>TS435</t>
  </si>
  <si>
    <t>982 000 407 601 549/982 000 407 601 549/R57111/R57112</t>
  </si>
  <si>
    <t>151962346A/151962346A/R57108/R57109</t>
  </si>
  <si>
    <t>21 FEBRUARY 2024: ATTEMPTED TO RECEIVE ADDITIONAL DATA ON ISLANDS AND LAT/LONGS WITH NO SUCCESS. WE RECEIVED 3 VIALS FROM 2 DATES FOR THIS TURTLE. THIS SAMPLE IS EITHER FROM 19 DECEMBER 2020 OR 29 NOVEMBER 2022, BUT THE VIALS DOES NOT PROVIDE ENOUGH INFORMATION TO DIFFERENTIATE THE TWO SAMPLES. REACHED OUT TO CONTRIBUTOR FOR HELP DIFFERENTIATING THE VIALS BASED ON LABEL TYPES, BUT RECEIVED NO RESPONSE. ALL HAVE BEEN ACCESSIONED AS SEPARATE COLLECTION EVENTS, BECAUSE THERE'S NO WAY TO TELL WHICH OF  THE 3 WERE COLLECTED THE SAME DAY. SCL IS 160 OR 161.</t>
  </si>
  <si>
    <t>982 000 364 267 682/982 000 364 267 682/R54903/R54904</t>
  </si>
  <si>
    <t>123817195A</t>
  </si>
  <si>
    <t>??/??/2005</t>
  </si>
  <si>
    <t>151 961 074A/151 961 074A/R57082</t>
  </si>
  <si>
    <t>12/??/2001</t>
  </si>
  <si>
    <t>123751317A</t>
  </si>
  <si>
    <t>126333734A</t>
  </si>
  <si>
    <t>123856717A</t>
  </si>
  <si>
    <t>126309171A</t>
  </si>
  <si>
    <t>132264585A</t>
  </si>
  <si>
    <t>sort</t>
  </si>
  <si>
    <t>mplot.id</t>
  </si>
  <si>
    <t>id</t>
  </si>
  <si>
    <t>mplot.pop</t>
  </si>
  <si>
    <t>lab.id</t>
  </si>
  <si>
    <t>sampling.location</t>
  </si>
  <si>
    <t>rud.id</t>
  </si>
  <si>
    <t>plate.id</t>
  </si>
  <si>
    <t>Stratum_ABO</t>
  </si>
  <si>
    <t>Stratum2_ABO</t>
  </si>
  <si>
    <t>Stratum_Description_ABO</t>
  </si>
  <si>
    <t>6796_mapped2ref.sam</t>
  </si>
  <si>
    <t>6796</t>
  </si>
  <si>
    <t>SOLOMON_ISLANDS</t>
  </si>
  <si>
    <t>ms57</t>
  </si>
  <si>
    <t>Wpac_p2</t>
  </si>
  <si>
    <t>IsabelSI-South</t>
  </si>
  <si>
    <t>Solomon Islands</t>
  </si>
  <si>
    <t>Sasakolo, Solomon Islands, Nesting</t>
  </si>
  <si>
    <t>6797_mapped2ref.sam</t>
  </si>
  <si>
    <t>6797</t>
  </si>
  <si>
    <t>Wpac_p1</t>
  </si>
  <si>
    <t>6798_mapped2ref.sam</t>
  </si>
  <si>
    <t>6798</t>
  </si>
  <si>
    <t>6799_mapped2ref.sam</t>
  </si>
  <si>
    <t>6799</t>
  </si>
  <si>
    <t>6800_mapped2ref.sam</t>
  </si>
  <si>
    <t>6800</t>
  </si>
  <si>
    <t>6801_mapped2ref.sam</t>
  </si>
  <si>
    <t>6801</t>
  </si>
  <si>
    <t>6802_mapped2ref.sam</t>
  </si>
  <si>
    <t>6802</t>
  </si>
  <si>
    <t>6803_mapped2ref.sam</t>
  </si>
  <si>
    <t>6803</t>
  </si>
  <si>
    <t>6805_mapped2ref.sam</t>
  </si>
  <si>
    <t>6805</t>
  </si>
  <si>
    <t>PAPUA_NEW_GUINEA</t>
  </si>
  <si>
    <t>PNG</t>
  </si>
  <si>
    <t>PNG, Stranding</t>
  </si>
  <si>
    <t>12480_mapped2ref.sam</t>
  </si>
  <si>
    <t>12480</t>
  </si>
  <si>
    <t>Litoghahira, Solomon Islands, Nesting</t>
  </si>
  <si>
    <t>12481_mapped2ref.sam</t>
  </si>
  <si>
    <t>12481</t>
  </si>
  <si>
    <t>12482_mapped2ref.sam</t>
  </si>
  <si>
    <t>12482</t>
  </si>
  <si>
    <t>12483_mapped2ref.sam</t>
  </si>
  <si>
    <t>12483</t>
  </si>
  <si>
    <t>12484_mapped2ref.sam</t>
  </si>
  <si>
    <t>12484</t>
  </si>
  <si>
    <t>12485_mapped2ref.sam</t>
  </si>
  <si>
    <t>12485</t>
  </si>
  <si>
    <t>12486_mapped2ref.sam</t>
  </si>
  <si>
    <t>12486</t>
  </si>
  <si>
    <t>12488_mapped2ref.sam</t>
  </si>
  <si>
    <t>12488</t>
  </si>
  <si>
    <t>12489_mapped2ref.sam</t>
  </si>
  <si>
    <t>12489</t>
  </si>
  <si>
    <t>12490_mapped2ref.sam</t>
  </si>
  <si>
    <t>12490</t>
  </si>
  <si>
    <t>12491_mapped2ref.sam</t>
  </si>
  <si>
    <t>12491</t>
  </si>
  <si>
    <t>12492_mapped2ref.sam</t>
  </si>
  <si>
    <t>12492</t>
  </si>
  <si>
    <t>12493_mapped2ref.sam</t>
  </si>
  <si>
    <t>12493</t>
  </si>
  <si>
    <t>12494_mapped2ref.sam</t>
  </si>
  <si>
    <t>12494</t>
  </si>
  <si>
    <t>12495_mapped2ref.sam</t>
  </si>
  <si>
    <t>12495</t>
  </si>
  <si>
    <t>12496_mapped2ref.sam</t>
  </si>
  <si>
    <t>12496</t>
  </si>
  <si>
    <t>12497_mapped2ref.sam</t>
  </si>
  <si>
    <t>12497</t>
  </si>
  <si>
    <t>12499_mapped2ref.sam</t>
  </si>
  <si>
    <t>12499</t>
  </si>
  <si>
    <t>12500_mapped2ref.sam</t>
  </si>
  <si>
    <t>12500</t>
  </si>
  <si>
    <t>12502_mapped2ref.sam</t>
  </si>
  <si>
    <t>12502</t>
  </si>
  <si>
    <t>12503_mapped2ref.sam</t>
  </si>
  <si>
    <t>12503</t>
  </si>
  <si>
    <t>12504_mapped2ref.sam</t>
  </si>
  <si>
    <t>12504</t>
  </si>
  <si>
    <t>12505_mapped2ref.sam</t>
  </si>
  <si>
    <t>12505</t>
  </si>
  <si>
    <t>12509_mapped2ref.sam</t>
  </si>
  <si>
    <t>12509</t>
  </si>
  <si>
    <t>12511_mapped2ref.sam</t>
  </si>
  <si>
    <t>12511</t>
  </si>
  <si>
    <t>12514_mapped2ref.sam</t>
  </si>
  <si>
    <t>12514</t>
  </si>
  <si>
    <t>12515_mapped2ref.sam</t>
  </si>
  <si>
    <t>12515</t>
  </si>
  <si>
    <t>12517_mapped2ref.sam</t>
  </si>
  <si>
    <t>12517</t>
  </si>
  <si>
    <t>12519_mapped2ref.sam</t>
  </si>
  <si>
    <t>12519</t>
  </si>
  <si>
    <t>12520_mapped2ref.sam</t>
  </si>
  <si>
    <t>12520</t>
  </si>
  <si>
    <t>12521_mapped2ref.sam</t>
  </si>
  <si>
    <t>12521</t>
  </si>
  <si>
    <t>12522_mapped2ref.sam</t>
  </si>
  <si>
    <t>12522</t>
  </si>
  <si>
    <t>12523_mapped2ref.sam</t>
  </si>
  <si>
    <t>12523</t>
  </si>
  <si>
    <t>12524_mapped2ref.sam</t>
  </si>
  <si>
    <t>12524</t>
  </si>
  <si>
    <t>12525_mapped2ref.sam</t>
  </si>
  <si>
    <t>12525</t>
  </si>
  <si>
    <t>12526_mapped2ref.sam</t>
  </si>
  <si>
    <t>12526</t>
  </si>
  <si>
    <t>12527_mapped2ref.sam</t>
  </si>
  <si>
    <t>12527</t>
  </si>
  <si>
    <t>12528_mapped2ref.sam</t>
  </si>
  <si>
    <t>12528</t>
  </si>
  <si>
    <t>16882_mapped2ref.sam</t>
  </si>
  <si>
    <t>16882</t>
  </si>
  <si>
    <t>Malaysia</t>
  </si>
  <si>
    <t>Malaysia, Nesting</t>
  </si>
  <si>
    <t>16883_mapped2ref.sam</t>
  </si>
  <si>
    <t>16883</t>
  </si>
  <si>
    <t>16884_mapped2ref.sam</t>
  </si>
  <si>
    <t>16884</t>
  </si>
  <si>
    <t>16885_mapped2ref.sam</t>
  </si>
  <si>
    <t>16885</t>
  </si>
  <si>
    <t>16886_mapped2ref.sam</t>
  </si>
  <si>
    <t>16886</t>
  </si>
  <si>
    <t>16887_mapped2ref.sam</t>
  </si>
  <si>
    <t>16887</t>
  </si>
  <si>
    <t>16888_mapped2ref.sam</t>
  </si>
  <si>
    <t>16888</t>
  </si>
  <si>
    <t>26450_mapped2ref.sam</t>
  </si>
  <si>
    <t>26450</t>
  </si>
  <si>
    <t>PNG, Nesting</t>
  </si>
  <si>
    <t>26451_mapped2ref.sam</t>
  </si>
  <si>
    <t>26451</t>
  </si>
  <si>
    <t>26452_mapped2ref.sam</t>
  </si>
  <si>
    <t>26452</t>
  </si>
  <si>
    <t>26456_mapped2ref.sam</t>
  </si>
  <si>
    <t>26456</t>
  </si>
  <si>
    <t>26457_mapped2ref.sam</t>
  </si>
  <si>
    <t>26457</t>
  </si>
  <si>
    <t>26458_mapped2ref.sam</t>
  </si>
  <si>
    <t>26458</t>
  </si>
  <si>
    <t>32021_mapped2ref.sam</t>
  </si>
  <si>
    <t>32021</t>
  </si>
  <si>
    <t>Morobe, PNG, Nesting</t>
  </si>
  <si>
    <t>32022_mapped2ref.sam</t>
  </si>
  <si>
    <t>32022</t>
  </si>
  <si>
    <t>32023_mapped2ref.sam</t>
  </si>
  <si>
    <t>32023</t>
  </si>
  <si>
    <t>32024_mapped2ref.sam</t>
  </si>
  <si>
    <t>32024</t>
  </si>
  <si>
    <t>32030_mapped2ref.sam</t>
  </si>
  <si>
    <t>32030</t>
  </si>
  <si>
    <t>32031_mapped2ref.sam</t>
  </si>
  <si>
    <t>32031</t>
  </si>
  <si>
    <t>35352_ms61_mapped2ref.sam</t>
  </si>
  <si>
    <t>35352</t>
  </si>
  <si>
    <t>CentralCA</t>
  </si>
  <si>
    <t>ms61</t>
  </si>
  <si>
    <t>Dc_misc</t>
  </si>
  <si>
    <t>In-water, CA</t>
  </si>
  <si>
    <t>California, USA, In-water, Foraging</t>
  </si>
  <si>
    <t>37412_mapped2ref.sam</t>
  </si>
  <si>
    <t>37412</t>
  </si>
  <si>
    <t>Bird's Head-Summer</t>
  </si>
  <si>
    <t>Jeen Yessa, Indonesia, Nesting, Summer</t>
  </si>
  <si>
    <t>37417_mapped2ref.sam</t>
  </si>
  <si>
    <t>37417</t>
  </si>
  <si>
    <t>37418_mapped2ref.sam</t>
  </si>
  <si>
    <t>37418</t>
  </si>
  <si>
    <t>37419_mapped2ref.sam</t>
  </si>
  <si>
    <t>37419</t>
  </si>
  <si>
    <t>37422_mapped2ref.sam</t>
  </si>
  <si>
    <t>37422</t>
  </si>
  <si>
    <t>37463_mapped2ref.sam</t>
  </si>
  <si>
    <t>37463</t>
  </si>
  <si>
    <t>37464_mapped2ref.sam</t>
  </si>
  <si>
    <t>37464</t>
  </si>
  <si>
    <t>37465_mapped2ref.sam</t>
  </si>
  <si>
    <t>37465</t>
  </si>
  <si>
    <t>37466_mapped2ref.sam</t>
  </si>
  <si>
    <t>37466</t>
  </si>
  <si>
    <t>37467_mapped2ref.sam</t>
  </si>
  <si>
    <t>37467</t>
  </si>
  <si>
    <t>37468_mapped2ref.sam</t>
  </si>
  <si>
    <t>37468</t>
  </si>
  <si>
    <t>37469_mapped2ref.sam</t>
  </si>
  <si>
    <t>37469</t>
  </si>
  <si>
    <t>37471_mapped2ref.sam</t>
  </si>
  <si>
    <t>37471</t>
  </si>
  <si>
    <t>40942_mapped2ref.sam</t>
  </si>
  <si>
    <t>40942</t>
  </si>
  <si>
    <t>40943_mapped2ref.sam</t>
  </si>
  <si>
    <t>40943</t>
  </si>
  <si>
    <t>40945_mapped2ref.sam</t>
  </si>
  <si>
    <t>40945</t>
  </si>
  <si>
    <t>61457_mapped2ref.sam</t>
  </si>
  <si>
    <t>61457</t>
  </si>
  <si>
    <t>61464_mapped2ref.sam</t>
  </si>
  <si>
    <t>61464</t>
  </si>
  <si>
    <t>61467_mapped2ref.sam</t>
  </si>
  <si>
    <t>61467</t>
  </si>
  <si>
    <t>61468_mapped2ref.sam</t>
  </si>
  <si>
    <t>61468</t>
  </si>
  <si>
    <t>62622_mapped2ref.sam</t>
  </si>
  <si>
    <t>62622</t>
  </si>
  <si>
    <t>62627_mapped2ref.sam</t>
  </si>
  <si>
    <t>62627</t>
  </si>
  <si>
    <t>62630_mapped2ref.sam</t>
  </si>
  <si>
    <t>62630</t>
  </si>
  <si>
    <t>62634_mapped2ref.sam</t>
  </si>
  <si>
    <t>62634</t>
  </si>
  <si>
    <t>62636_mapped2ref.sam</t>
  </si>
  <si>
    <t>62636</t>
  </si>
  <si>
    <t>62680_mapped2ref.sam</t>
  </si>
  <si>
    <t>62680</t>
  </si>
  <si>
    <t>62681_mapped2ref.sam</t>
  </si>
  <si>
    <t>62681</t>
  </si>
  <si>
    <t>62687_mapped2ref.sam</t>
  </si>
  <si>
    <t>62687</t>
  </si>
  <si>
    <t>Bird's Head-Winter</t>
  </si>
  <si>
    <t>Jeen Syuab, Indonesia, Nesting, Winter</t>
  </si>
  <si>
    <t>62737_mapped2ref.sam</t>
  </si>
  <si>
    <t>62737</t>
  </si>
  <si>
    <t>62742_mapped2ref.sam</t>
  </si>
  <si>
    <t>62742</t>
  </si>
  <si>
    <t>62743_mapped2ref.sam</t>
  </si>
  <si>
    <t>62743</t>
  </si>
  <si>
    <t>62752_mapped2ref.sam</t>
  </si>
  <si>
    <t>62752</t>
  </si>
  <si>
    <t>62761_mapped2ref.sam</t>
  </si>
  <si>
    <t>62761</t>
  </si>
  <si>
    <t>62766_mapped2ref.sam</t>
  </si>
  <si>
    <t>62766</t>
  </si>
  <si>
    <t>62787_mapped2ref.sam</t>
  </si>
  <si>
    <t>62787</t>
  </si>
  <si>
    <t>76691_mapped2ref.sam</t>
  </si>
  <si>
    <t>76691</t>
  </si>
  <si>
    <t>76693_mapped2ref.sam</t>
  </si>
  <si>
    <t>76693</t>
  </si>
  <si>
    <t>76695_mapped2ref.sam</t>
  </si>
  <si>
    <t>76695</t>
  </si>
  <si>
    <t>76697_mapped2ref.sam</t>
  </si>
  <si>
    <t>76697</t>
  </si>
  <si>
    <t>76699_mapped2ref.sam</t>
  </si>
  <si>
    <t>76699</t>
  </si>
  <si>
    <t>76701_mapped2ref.sam</t>
  </si>
  <si>
    <t>76701</t>
  </si>
  <si>
    <t>76703_mapped2ref.sam</t>
  </si>
  <si>
    <t>76703</t>
  </si>
  <si>
    <t>76705_mapped2ref.sam</t>
  </si>
  <si>
    <t>76705</t>
  </si>
  <si>
    <t>76707_mapped2ref.sam</t>
  </si>
  <si>
    <t>76707</t>
  </si>
  <si>
    <t>76709_mapped2ref.sam</t>
  </si>
  <si>
    <t>76709</t>
  </si>
  <si>
    <t>76711_mapped2ref.sam</t>
  </si>
  <si>
    <t>76711</t>
  </si>
  <si>
    <t>76713_mapped2ref.sam</t>
  </si>
  <si>
    <t>76713</t>
  </si>
  <si>
    <t>76715_mapped2ref.sam</t>
  </si>
  <si>
    <t>76715</t>
  </si>
  <si>
    <t>102589_mapped2ref.sam</t>
  </si>
  <si>
    <t>102589</t>
  </si>
  <si>
    <t>102605_mapped2ref.sam</t>
  </si>
  <si>
    <t>102605</t>
  </si>
  <si>
    <t>102610_mapped2ref.sam</t>
  </si>
  <si>
    <t>102610</t>
  </si>
  <si>
    <t>102616_mapped2ref.sam</t>
  </si>
  <si>
    <t>102616</t>
  </si>
  <si>
    <t>102682_mapped2ref.sam</t>
  </si>
  <si>
    <t>102682</t>
  </si>
  <si>
    <t>117088_mapped2ref.sam</t>
  </si>
  <si>
    <t>117088</t>
  </si>
  <si>
    <t>In-water, Indonesia</t>
  </si>
  <si>
    <t>Maluku, Indonesia, In-water, Foraging</t>
  </si>
  <si>
    <t>117089_mapped2ref.sam</t>
  </si>
  <si>
    <t>117089</t>
  </si>
  <si>
    <t>117094_mapped2ref.sam</t>
  </si>
  <si>
    <t>117094</t>
  </si>
  <si>
    <t>117103_mapped2ref.sam</t>
  </si>
  <si>
    <t>117103</t>
  </si>
  <si>
    <t>134055_mapped2ref.sam</t>
  </si>
  <si>
    <t>134055</t>
  </si>
  <si>
    <t>134059_mapped2ref.sam</t>
  </si>
  <si>
    <t>134059</t>
  </si>
  <si>
    <t>134061_mapped2ref.sam</t>
  </si>
  <si>
    <t>134061</t>
  </si>
  <si>
    <t>134064_mapped2ref.sam</t>
  </si>
  <si>
    <t>134064</t>
  </si>
  <si>
    <t>134066_mapped2ref.sam</t>
  </si>
  <si>
    <t>134066</t>
  </si>
  <si>
    <t>134070_mapped2ref.sam</t>
  </si>
  <si>
    <t>134070</t>
  </si>
  <si>
    <t>134074_mapped2ref.sam</t>
  </si>
  <si>
    <t>134074</t>
  </si>
  <si>
    <t>Jeen Syuab, Indonesia, Nesting, Summer</t>
  </si>
  <si>
    <t>134087_mapped2ref.sam</t>
  </si>
  <si>
    <t>134087</t>
  </si>
  <si>
    <t>134095_mapped2ref.sam</t>
  </si>
  <si>
    <t>134095</t>
  </si>
  <si>
    <t>134097_mapped2ref.sam</t>
  </si>
  <si>
    <t>134097</t>
  </si>
  <si>
    <t>134098_mapped2ref.sam</t>
  </si>
  <si>
    <t>134098</t>
  </si>
  <si>
    <t>134101_mapped2ref.sam</t>
  </si>
  <si>
    <t>134101</t>
  </si>
  <si>
    <t>134108_mapped2ref.sam</t>
  </si>
  <si>
    <t>134108</t>
  </si>
  <si>
    <t>134109_mapped2ref.sam</t>
  </si>
  <si>
    <t>134109</t>
  </si>
  <si>
    <t>134111_mapped2ref.sam</t>
  </si>
  <si>
    <t>134111</t>
  </si>
  <si>
    <t>134112_mapped2ref.sam</t>
  </si>
  <si>
    <t>134112</t>
  </si>
  <si>
    <t>134113_mapped2ref.sam</t>
  </si>
  <si>
    <t>134113</t>
  </si>
  <si>
    <t>178009_ms61_mapped2ref.sam</t>
  </si>
  <si>
    <t>178009</t>
  </si>
  <si>
    <t>178011_ms61_mapped2ref.sam</t>
  </si>
  <si>
    <t>178011</t>
  </si>
  <si>
    <t>178014_ms61_mapped2ref.sam</t>
  </si>
  <si>
    <t>178014</t>
  </si>
  <si>
    <t>207730_ms61_mapped2ref.sam</t>
  </si>
  <si>
    <t>207730</t>
  </si>
  <si>
    <t>207745_ms61_mapped2ref.sam</t>
  </si>
  <si>
    <t>207745</t>
  </si>
  <si>
    <t>210588_ms61_mapped2ref.sam</t>
  </si>
  <si>
    <t>210588</t>
  </si>
  <si>
    <t>216904_ms61_mapped2ref.sam</t>
  </si>
  <si>
    <t>216904</t>
  </si>
  <si>
    <t>HaevoSI-Winter</t>
  </si>
  <si>
    <t>Haevo, Solomon Islands, Nesting</t>
  </si>
  <si>
    <t>216905_ms61_mapped2ref.sam</t>
  </si>
  <si>
    <t>216905</t>
  </si>
  <si>
    <t>216906_ms61_mapped2ref.sam</t>
  </si>
  <si>
    <t>216906</t>
  </si>
  <si>
    <t>216907_ms61_mapped2ref.sam</t>
  </si>
  <si>
    <t>216907</t>
  </si>
  <si>
    <t>216908_ms61_mapped2ref.sam</t>
  </si>
  <si>
    <t>216908</t>
  </si>
  <si>
    <t>216909_ms61_mapped2ref.sam</t>
  </si>
  <si>
    <t>216909</t>
  </si>
  <si>
    <t>216910_ms61_mapped2ref.sam</t>
  </si>
  <si>
    <t>216910</t>
  </si>
  <si>
    <t>216911_ms61_mapped2ref.sam</t>
  </si>
  <si>
    <t>216911</t>
  </si>
  <si>
    <t>216912_ms61_mapped2ref.sam</t>
  </si>
  <si>
    <t>216912</t>
  </si>
  <si>
    <t>216913_ms61_mapped2ref.sam</t>
  </si>
  <si>
    <t>216913</t>
  </si>
  <si>
    <t>216914_ms61_mapped2ref.sam</t>
  </si>
  <si>
    <t>216914</t>
  </si>
  <si>
    <t>216915_ms61_mapped2ref.sam</t>
  </si>
  <si>
    <t>216915</t>
  </si>
  <si>
    <t>216916_ms61_mapped2ref.sam</t>
  </si>
  <si>
    <t>216916</t>
  </si>
  <si>
    <t>216917_ms61_mapped2ref.sam</t>
  </si>
  <si>
    <t>216917</t>
  </si>
  <si>
    <t>216918_ms61_mapped2ref.sam</t>
  </si>
  <si>
    <t>216918</t>
  </si>
  <si>
    <t>216919_ms61_mapped2ref.sam</t>
  </si>
  <si>
    <t>216919</t>
  </si>
  <si>
    <t>216920_ms61_mapped2ref.sam</t>
  </si>
  <si>
    <t>216920</t>
  </si>
  <si>
    <t>216921_ms61_mapped2ref.sam</t>
  </si>
  <si>
    <t>216921</t>
  </si>
  <si>
    <t>216922_ms61_mapped2ref.sam</t>
  </si>
  <si>
    <t>216922</t>
  </si>
  <si>
    <t>HaevoSI-Summer</t>
  </si>
  <si>
    <t>216923_ms61_mapped2ref.sam</t>
  </si>
  <si>
    <t>216923</t>
  </si>
  <si>
    <t>216924_ms61_mapped2ref.sam</t>
  </si>
  <si>
    <t>216924</t>
  </si>
  <si>
    <t>216925_ms61_mapped2ref.sam</t>
  </si>
  <si>
    <t>216925</t>
  </si>
  <si>
    <t>216926_ms61_mapped2ref.sam</t>
  </si>
  <si>
    <t>216926</t>
  </si>
  <si>
    <t>216927_ms61_mapped2ref.sam</t>
  </si>
  <si>
    <t>216927</t>
  </si>
  <si>
    <t>216928_ms61_mapped2ref.sam</t>
  </si>
  <si>
    <t>216928</t>
  </si>
  <si>
    <t>216929_ms61_mapped2ref.sam</t>
  </si>
  <si>
    <t>216929</t>
  </si>
  <si>
    <t>216930_ms61_mapped2ref.sam</t>
  </si>
  <si>
    <t>216930</t>
  </si>
  <si>
    <t>216931_ms61_mapped2ref.sam</t>
  </si>
  <si>
    <t>216931</t>
  </si>
  <si>
    <t>102605b_mapped2ref.sam</t>
  </si>
  <si>
    <t>102605b</t>
  </si>
  <si>
    <t>102610b_mapped2ref.sam</t>
  </si>
  <si>
    <t>102610b</t>
  </si>
  <si>
    <t>102616b_mapped2ref.sam</t>
  </si>
  <si>
    <t>102616b</t>
  </si>
  <si>
    <t>117088b_mapped2ref.sam</t>
  </si>
  <si>
    <t>117088b</t>
  </si>
  <si>
    <t>117103b_mapped2ref.sam</t>
  </si>
  <si>
    <t>117103b</t>
  </si>
  <si>
    <t>12480b_mapped2ref.sam</t>
  </si>
  <si>
    <t>12480b</t>
  </si>
  <si>
    <t>12481b_mapped2ref.sam</t>
  </si>
  <si>
    <t>12481b</t>
  </si>
  <si>
    <t>12489b_mapped2ref.sam</t>
  </si>
  <si>
    <t>12489b</t>
  </si>
  <si>
    <t>12492b_mapped2ref.sam</t>
  </si>
  <si>
    <t>12492b</t>
  </si>
  <si>
    <t>12496b_mapped2ref.sam</t>
  </si>
  <si>
    <t>12496b</t>
  </si>
  <si>
    <t>12500b_mapped2ref.sam</t>
  </si>
  <si>
    <t>12500b</t>
  </si>
  <si>
    <t>12509b_mapped2ref.sam</t>
  </si>
  <si>
    <t>12509b</t>
  </si>
  <si>
    <t>12509c_mapped2ref.sam</t>
  </si>
  <si>
    <t>12509c</t>
  </si>
  <si>
    <t>12514b_mapped2ref.sam</t>
  </si>
  <si>
    <t>12514b</t>
  </si>
  <si>
    <t>12519b_mapped2ref.sam</t>
  </si>
  <si>
    <t>12519b</t>
  </si>
  <si>
    <t>12520b_mapped2ref.sam</t>
  </si>
  <si>
    <t>12520b</t>
  </si>
  <si>
    <t>12521b_mapped2ref.sam</t>
  </si>
  <si>
    <t>12521b</t>
  </si>
  <si>
    <t>12527b_mapped2ref.sam</t>
  </si>
  <si>
    <t>12527b</t>
  </si>
  <si>
    <t>134070b_mapped2ref.sam</t>
  </si>
  <si>
    <t>134070b</t>
  </si>
  <si>
    <t>134074b_mapped2ref.sam</t>
  </si>
  <si>
    <t>134074b</t>
  </si>
  <si>
    <t>134098b_mapped2ref.sam</t>
  </si>
  <si>
    <t>134098b</t>
  </si>
  <si>
    <t>134108b_mapped2ref.sam</t>
  </si>
  <si>
    <t>134108b</t>
  </si>
  <si>
    <t>134112b_mapped2ref.sam</t>
  </si>
  <si>
    <t>134112b</t>
  </si>
  <si>
    <t>134113b_mapped2ref.sam</t>
  </si>
  <si>
    <t>134113b</t>
  </si>
  <si>
    <t>16884b_mapped2ref.sam</t>
  </si>
  <si>
    <t>16884b</t>
  </si>
  <si>
    <t>26450b_mapped2ref.sam</t>
  </si>
  <si>
    <t>26450b</t>
  </si>
  <si>
    <t>26451b_mapped2ref.sam</t>
  </si>
  <si>
    <t>26451b</t>
  </si>
  <si>
    <t>26452b_mapped2ref.sam</t>
  </si>
  <si>
    <t>26452b</t>
  </si>
  <si>
    <t>26457b_mapped2ref.sam</t>
  </si>
  <si>
    <t>26457b</t>
  </si>
  <si>
    <t>32021b_mapped2ref.sam</t>
  </si>
  <si>
    <t>32021b</t>
  </si>
  <si>
    <t>37419b_mapped2ref.sam</t>
  </si>
  <si>
    <t>37419b</t>
  </si>
  <si>
    <t>37469b_mapped2ref.sam</t>
  </si>
  <si>
    <t>37469b</t>
  </si>
  <si>
    <t>61467b_mapped2ref.sam</t>
  </si>
  <si>
    <t>61467b</t>
  </si>
  <si>
    <t>62622b_mapped2ref.sam</t>
  </si>
  <si>
    <t>62622b</t>
  </si>
  <si>
    <t>62627b_mapped2ref.sam</t>
  </si>
  <si>
    <t>62627b</t>
  </si>
  <si>
    <t>62630b_mapped2ref.sam</t>
  </si>
  <si>
    <t>62630b</t>
  </si>
  <si>
    <t>62634b_mapped2ref.sam</t>
  </si>
  <si>
    <t>62634b</t>
  </si>
  <si>
    <t>62636b_mapped2ref.sam</t>
  </si>
  <si>
    <t>62636b</t>
  </si>
  <si>
    <t>62680b_mapped2ref.sam</t>
  </si>
  <si>
    <t>62680b</t>
  </si>
  <si>
    <t>62687b_mapped2ref.sam</t>
  </si>
  <si>
    <t>62687b</t>
  </si>
  <si>
    <t>62742b_mapped2ref.sam</t>
  </si>
  <si>
    <t>62742b</t>
  </si>
  <si>
    <t>62743b_mapped2ref.sam</t>
  </si>
  <si>
    <t>62743b</t>
  </si>
  <si>
    <t>62752b_mapped2ref.sam</t>
  </si>
  <si>
    <t>62752b</t>
  </si>
  <si>
    <t>62761b_mapped2ref.sam</t>
  </si>
  <si>
    <t>62761b</t>
  </si>
  <si>
    <t>62766b_mapped2ref.sam</t>
  </si>
  <si>
    <t>62766b</t>
  </si>
  <si>
    <t>62787b_mapped2ref.sam</t>
  </si>
  <si>
    <t>62787b</t>
  </si>
  <si>
    <t>6799b_mapped2ref.sam</t>
  </si>
  <si>
    <t>6799b</t>
  </si>
  <si>
    <t>6802b_mapped2ref.sam</t>
  </si>
  <si>
    <t>6802b</t>
  </si>
  <si>
    <t>6803b_mapped2ref.sam</t>
  </si>
  <si>
    <t>6803b</t>
  </si>
  <si>
    <t>76691b_mapped2ref.sam</t>
  </si>
  <si>
    <t>76691b</t>
  </si>
  <si>
    <t>76695b_mapped2ref.sam</t>
  </si>
  <si>
    <t>76695b</t>
  </si>
  <si>
    <t>76697b_mapped2ref.sam</t>
  </si>
  <si>
    <t>76697b</t>
  </si>
  <si>
    <t>old_Filename</t>
  </si>
  <si>
    <t>new_Filename</t>
  </si>
  <si>
    <t>ms77</t>
  </si>
  <si>
    <t>ids.1</t>
  </si>
  <si>
    <t>ids.2</t>
  </si>
  <si>
    <t>strata.1</t>
  </si>
  <si>
    <t>strata.2</t>
  </si>
  <si>
    <t>mismatch.loci</t>
  </si>
  <si>
    <t>num.loci.genotyped</t>
  </si>
  <si>
    <t>num.loci.shared</t>
  </si>
  <si>
    <t>prop.loci.shared</t>
  </si>
  <si>
    <t>locus314</t>
  </si>
  <si>
    <t>locus165</t>
  </si>
  <si>
    <t>locus083</t>
  </si>
  <si>
    <t>Dc13592</t>
  </si>
  <si>
    <t>locus184</t>
  </si>
  <si>
    <t>locus</t>
  </si>
  <si>
    <t>Indiv</t>
  </si>
  <si>
    <t>gt</t>
  </si>
  <si>
    <t>haplo.1</t>
  </si>
  <si>
    <t>haplo.2</t>
  </si>
  <si>
    <t>haplo.3</t>
  </si>
  <si>
    <t>haplo.4</t>
  </si>
  <si>
    <t>depth.1</t>
  </si>
  <si>
    <t>depth.2</t>
  </si>
  <si>
    <t>depth.3</t>
  </si>
  <si>
    <t>depth.4</t>
  </si>
  <si>
    <t>num.haps</t>
  </si>
  <si>
    <t>G/N</t>
  </si>
  <si>
    <t>G</t>
  </si>
  <si>
    <t>A/G</t>
  </si>
  <si>
    <t>A</t>
  </si>
  <si>
    <t>A/N</t>
  </si>
  <si>
    <t>LABID</t>
  </si>
  <si>
    <t>A/C</t>
  </si>
  <si>
    <t>C</t>
  </si>
  <si>
    <t>A/A</t>
  </si>
  <si>
    <t>AC/AC</t>
  </si>
  <si>
    <t>AC</t>
  </si>
  <si>
    <t>GC</t>
  </si>
  <si>
    <t>AC/GC</t>
  </si>
  <si>
    <t>AN</t>
  </si>
  <si>
    <t>GG</t>
  </si>
  <si>
    <t>AA</t>
  </si>
  <si>
    <t>T</t>
  </si>
  <si>
    <t>Action</t>
  </si>
  <si>
    <t>Note</t>
  </si>
  <si>
    <t>Too few reads</t>
  </si>
  <si>
    <t>Lots of short reads, looks like A and G</t>
  </si>
  <si>
    <t>G/G</t>
  </si>
  <si>
    <t>Lots of short reads, looks like G</t>
  </si>
  <si>
    <t>Total reads</t>
  </si>
  <si>
    <t>MAF</t>
  </si>
  <si>
    <t>must be present in &gt;30% to be heterozygote</t>
  </si>
  <si>
    <t>cant be present in &gt;20% to be homozygote</t>
  </si>
  <si>
    <t xml:space="preserve">Mismatches are due to MAFs being too low in the relicate that has fewer reads. </t>
  </si>
  <si>
    <t>OK to merge. MAFs in no mans land (20-29%) will become NA</t>
  </si>
  <si>
    <t>New duplicate</t>
  </si>
  <si>
    <t>To do</t>
  </si>
  <si>
    <t>Pick best, drop other. Before, kept 12504</t>
  </si>
  <si>
    <t>Known duplicate. Matched with microsats (one marker different, but marker is difficult). Different field IDs, collected one day apart</t>
  </si>
  <si>
    <t>Known duplicate. Matched with microsats, same field ID and same turtle ID</t>
  </si>
  <si>
    <t>Merge files</t>
  </si>
  <si>
    <t>Date sampled</t>
  </si>
  <si>
    <t>61452</t>
  </si>
  <si>
    <t>61452b</t>
  </si>
  <si>
    <t>62694</t>
  </si>
  <si>
    <t>62694b</t>
  </si>
  <si>
    <t>62712</t>
  </si>
  <si>
    <t>62712b</t>
  </si>
  <si>
    <t>62726</t>
  </si>
  <si>
    <t>62726b</t>
  </si>
  <si>
    <t>62751</t>
  </si>
  <si>
    <t>62751b</t>
  </si>
  <si>
    <t>62780</t>
  </si>
  <si>
    <t>62780b</t>
  </si>
  <si>
    <t>*Automate these file merges in script</t>
  </si>
  <si>
    <t>*Merge these files mannually</t>
  </si>
  <si>
    <t>Mannually merged:</t>
  </si>
  <si>
    <t>Merged with bash scripting:</t>
  </si>
  <si>
    <t>z0006799_merged.sam</t>
  </si>
  <si>
    <t>z0006802_merged.sam</t>
  </si>
  <si>
    <t>z0006803_merged.sam</t>
  </si>
  <si>
    <t>z0012480_merged.sam</t>
  </si>
  <si>
    <t>z0012481_merged.sam</t>
  </si>
  <si>
    <t>z0012489_merged.sam</t>
  </si>
  <si>
    <t>z0012492_merged.sam</t>
  </si>
  <si>
    <t>z0012496_merged.sam</t>
  </si>
  <si>
    <t>z0012500_merged.sam</t>
  </si>
  <si>
    <t>z0012509_merged.sam</t>
  </si>
  <si>
    <t>z0012514_merged.sam</t>
  </si>
  <si>
    <t>z0012519_merged.sam</t>
  </si>
  <si>
    <t>z0012520_merged.sam</t>
  </si>
  <si>
    <t>z0012521_merged.sam</t>
  </si>
  <si>
    <t>z0012527_merged.sam</t>
  </si>
  <si>
    <t>z0016884_merged.sam</t>
  </si>
  <si>
    <t>z0026450_merged.sam</t>
  </si>
  <si>
    <t>z0026451_merged.sam</t>
  </si>
  <si>
    <t>z0026452_merged.sam</t>
  </si>
  <si>
    <t>z0026457_merged.sam</t>
  </si>
  <si>
    <t>z0032021_merged.sam</t>
  </si>
  <si>
    <t>z0037419_merged.sam</t>
  </si>
  <si>
    <t>z0037469_merged.sam</t>
  </si>
  <si>
    <t>z0061452_merged.sam</t>
  </si>
  <si>
    <t>z0061467_merged.sam</t>
  </si>
  <si>
    <t>z0062622_merged.sam</t>
  </si>
  <si>
    <t>z0062627_merged.sam</t>
  </si>
  <si>
    <t>z0062630_merged.sam</t>
  </si>
  <si>
    <t>z0062634_merged.sam</t>
  </si>
  <si>
    <t>z0062636_merged.sam</t>
  </si>
  <si>
    <t>z0062680_merged.sam</t>
  </si>
  <si>
    <t>z0062687_merged.sam</t>
  </si>
  <si>
    <t>z0062694_merged.sam</t>
  </si>
  <si>
    <t>z0062712_merged.sam</t>
  </si>
  <si>
    <t>z0062726_merged.sam</t>
  </si>
  <si>
    <t>z0062742_merged.sam</t>
  </si>
  <si>
    <t>z0062743_merged.sam</t>
  </si>
  <si>
    <t>z0062751_merged.sam</t>
  </si>
  <si>
    <t>z0062752_merged.sam</t>
  </si>
  <si>
    <t>z0062761_merged.sam</t>
  </si>
  <si>
    <t>z0062766_merged.sam</t>
  </si>
  <si>
    <t>z0062780_merged.sam</t>
  </si>
  <si>
    <t>z0062787_merged.sam</t>
  </si>
  <si>
    <t>z0076691_merged.sam</t>
  </si>
  <si>
    <t>z0076695_merged.sam</t>
  </si>
  <si>
    <t>z0076697_merged.sam</t>
  </si>
  <si>
    <t>z0102605_merged.sam</t>
  </si>
  <si>
    <t>z0102610_merged.sam</t>
  </si>
  <si>
    <t>z0102616_merged.sam</t>
  </si>
  <si>
    <t>z0117088_merged.sam</t>
  </si>
  <si>
    <t>z0117103_merged.sam</t>
  </si>
  <si>
    <t>z0134070_merged.sam</t>
  </si>
  <si>
    <t>z0134074_merged.sam</t>
  </si>
  <si>
    <t>z0134098_merged.sam</t>
  </si>
  <si>
    <t>z0134108_merged.sam</t>
  </si>
  <si>
    <t>z0134112_merged.sam</t>
  </si>
  <si>
    <t>z0134113_merged.sam</t>
  </si>
  <si>
    <t>Emailed Amy Frey to see what I should do with the new duplicates identified:</t>
  </si>
  <si>
    <t>Response from Amy:</t>
  </si>
  <si>
    <t>Known duplicate</t>
  </si>
  <si>
    <t>Unknown duplicate</t>
  </si>
  <si>
    <t>To do:</t>
  </si>
  <si>
    <t>Merge</t>
  </si>
  <si>
    <t>Merged:</t>
  </si>
  <si>
    <t>samtools merge merged/z0012505_merged.sam z0061450_mapped2ref.sam  z0012505_mapped2ref.sam</t>
  </si>
  <si>
    <t>samtools merge merged/z0012509_merged.sam z0012509b_mapped2ref.sam z0012509c_mapped2ref.sam z0012508_mapped2ref.sam</t>
  </si>
  <si>
    <t>samtools merge merged/z0062712_merged.sam z0062712_mapped2ref.sam  z0062712b_mapped2ref.sam z0062767_mapped2ref.sam</t>
  </si>
  <si>
    <t>samtools merge merged/z0012516_merged.sam z0012516_mapped2ref.sam  z0012528_mapped2ref.sam</t>
  </si>
  <si>
    <t>z0012505_merged.sam			31.9</t>
  </si>
  <si>
    <t>z0061450_mapped2ref.sam 	21.3</t>
  </si>
  <si>
    <t>z0012505_mapped2ref.sam		10.7</t>
  </si>
  <si>
    <t>z0012509_merged.sam			65.8</t>
  </si>
  <si>
    <t>z0012509b_mapped2ref.sam	15.7</t>
  </si>
  <si>
    <t>z0012509c_mapped2ref.sam	17.8</t>
  </si>
  <si>
    <t>z0012508_mapped2ref.sam		32.3</t>
  </si>
  <si>
    <t>z0062712_merged.sam			49.9</t>
  </si>
  <si>
    <t>z0062712_mapped2ref.sam		12.8</t>
  </si>
  <si>
    <t>z0062712b_mapped2ref.sam	14.6</t>
  </si>
  <si>
    <t>z0062767_mapped2ref.sam		22.5</t>
  </si>
  <si>
    <t>z0012516_merged.sam			38.9</t>
  </si>
  <si>
    <t>z0012516_mapped2ref.sam 	20.7</t>
  </si>
  <si>
    <t>z0012528_mapped2ref.sam		18.2</t>
  </si>
  <si>
    <t>z0012505_merged.sam</t>
  </si>
  <si>
    <t>z0012516_merged.sam</t>
  </si>
  <si>
    <t>locus069</t>
  </si>
  <si>
    <t>Some short reads, looks like A and G</t>
  </si>
  <si>
    <t>Ran the "merged" pipeline and checked for duplicates again, though they should have been dealt with</t>
  </si>
  <si>
    <t>Some duplicates remain</t>
  </si>
  <si>
    <t xml:space="preserve"> - Some my fault. I only merged the new/unknown duplicates, forgot to address the previous ones</t>
  </si>
  <si>
    <t xml:space="preserve"> - One that I missed. 12496a had no reads, 12496b had lots. 12496 (after 12496a and 12496b were merged) is a match with  61464. I have asked Amy if these are known duplicates</t>
  </si>
  <si>
    <t xml:space="preserve">Per Sue, these were known duplicates. </t>
  </si>
  <si>
    <t xml:space="preserve">Will merge and run the script again.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</si>
</sst>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sz val="11"/>
      <color rgb="FF000000"/>
      <name val="Calibri"/>
      <family val="2"/>
    </font>
    <font>
      <sz val="11"/>
      <color rgb="FF000000"/>
      <name val="Calibri"/>
      <family val="2"/>
    </font>
    <font>
      <sz val="12"/>
      <color rgb="FF454545"/>
      <name val="Calibri"/>
      <family val="2"/>
      <scheme val="minor"/>
    </font>
    <font>
      <sz val="12"/>
      <color rgb="FF000000"/>
      <name val="Calibri"/>
      <family val="2"/>
      <scheme val="minor"/>
    </font>
    <font>
      <sz val="11"/>
      <color rgb="FF000000"/>
      <name val="Calibri"/>
      <family val="2"/>
      <scheme val="minor"/>
    </font>
    <font>
      <b/>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2" fillId="0" borderId="0" xfId="0" applyFont="1"/>
    <xf numFmtId="0" fontId="3" fillId="0" borderId="0" xfId="0" applyFont="1"/>
    <xf numFmtId="0" fontId="3" fillId="0" borderId="0" xfId="0" applyFont="1" applyAlignment="1">
      <alignment horizontal="right"/>
    </xf>
    <xf numFmtId="14" fontId="3" fillId="0" borderId="0" xfId="0" applyNumberFormat="1" applyFont="1" applyAlignment="1">
      <alignment horizontal="right"/>
    </xf>
    <xf numFmtId="0" fontId="4" fillId="0" borderId="0" xfId="0" applyFont="1"/>
    <xf numFmtId="0" fontId="0" fillId="2" borderId="0" xfId="0" applyFill="1"/>
    <xf numFmtId="0" fontId="0" fillId="3" borderId="0" xfId="0" applyFill="1"/>
    <xf numFmtId="0" fontId="0" fillId="4" borderId="0" xfId="0" applyFill="1"/>
    <xf numFmtId="0" fontId="5" fillId="0" borderId="0" xfId="0" applyFont="1"/>
    <xf numFmtId="14" fontId="1" fillId="0" borderId="0" xfId="0" applyNumberFormat="1" applyFont="1" applyAlignment="1">
      <alignment horizontal="left"/>
    </xf>
    <xf numFmtId="14" fontId="5" fillId="0" borderId="0" xfId="0" applyNumberFormat="1" applyFont="1"/>
    <xf numFmtId="0" fontId="6" fillId="0" borderId="0" xfId="0" applyFont="1"/>
    <xf numFmtId="14" fontId="6" fillId="0" borderId="0" xfId="0" applyNumberFormat="1" applyFont="1" applyAlignment="1">
      <alignment horizontal="right"/>
    </xf>
    <xf numFmtId="0" fontId="0" fillId="0" borderId="0" xfId="0" applyAlignment="1">
      <alignment horizontal="left"/>
    </xf>
    <xf numFmtId="0" fontId="5" fillId="0" borderId="0" xfId="0" applyFont="1" applyAlignment="1">
      <alignment horizontal="left"/>
    </xf>
    <xf numFmtId="0" fontId="6" fillId="0" borderId="0" xfId="0" applyFont="1" applyAlignment="1">
      <alignment horizontal="left"/>
    </xf>
    <xf numFmtId="0" fontId="7" fillId="0" borderId="0" xfId="0" applyFont="1"/>
    <xf numFmtId="0" fontId="7" fillId="0" borderId="0" xfId="0" applyFont="1" applyAlignment="1">
      <alignment horizontal="left"/>
    </xf>
    <xf numFmtId="0" fontId="1" fillId="0" borderId="0" xfId="0" applyFon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615E-CF85-444D-9355-767B97C3310D}">
  <dimension ref="A1:BG564"/>
  <sheetViews>
    <sheetView topLeftCell="AO187" workbookViewId="0">
      <selection activeCell="AT237" sqref="A1:XFD1048576"/>
    </sheetView>
  </sheetViews>
  <sheetFormatPr baseColWidth="10" defaultColWidth="12.6640625" defaultRowHeight="16" x14ac:dyDescent="0.2"/>
  <cols>
    <col min="2" max="2" width="40.1640625" bestFit="1" customWidth="1"/>
    <col min="3" max="3" width="28.1640625" bestFit="1" customWidth="1"/>
    <col min="28" max="28" width="30.6640625" bestFit="1" customWidth="1"/>
    <col min="29" max="30" width="18.33203125" bestFit="1" customWidth="1"/>
    <col min="31" max="31" width="35" bestFit="1" customWidth="1"/>
    <col min="32" max="32" width="65.5" bestFit="1" customWidth="1"/>
  </cols>
  <sheetData>
    <row r="1" spans="1:59" x14ac:dyDescent="0.2">
      <c r="A1" t="s">
        <v>1141</v>
      </c>
      <c r="B1" s="2" t="s">
        <v>1636</v>
      </c>
      <c r="C1" s="2" t="s">
        <v>1637</v>
      </c>
      <c r="D1" t="s">
        <v>1142</v>
      </c>
      <c r="E1" t="s">
        <v>1143</v>
      </c>
      <c r="F1" t="s">
        <v>1144</v>
      </c>
      <c r="G1" t="s">
        <v>1145</v>
      </c>
      <c r="H1" t="s">
        <v>1146</v>
      </c>
      <c r="I1" t="s">
        <v>1147</v>
      </c>
      <c r="J1" t="s">
        <v>1148</v>
      </c>
      <c r="K1" t="s">
        <v>905</v>
      </c>
      <c r="L1" s="2" t="s">
        <v>649</v>
      </c>
      <c r="M1" s="2" t="s">
        <v>650</v>
      </c>
      <c r="N1" s="2" t="s">
        <v>651</v>
      </c>
      <c r="O1" s="2" t="s">
        <v>652</v>
      </c>
      <c r="P1" s="2" t="s">
        <v>653</v>
      </c>
      <c r="Q1" s="2" t="s">
        <v>654</v>
      </c>
      <c r="R1" s="2" t="s">
        <v>655</v>
      </c>
      <c r="S1" s="2" t="s">
        <v>656</v>
      </c>
      <c r="T1" s="2" t="s">
        <v>657</v>
      </c>
      <c r="U1" s="2" t="s">
        <v>658</v>
      </c>
      <c r="V1" s="2" t="s">
        <v>659</v>
      </c>
      <c r="W1" s="2" t="s">
        <v>660</v>
      </c>
      <c r="X1" s="2" t="s">
        <v>661</v>
      </c>
      <c r="Y1" s="2" t="s">
        <v>662</v>
      </c>
      <c r="Z1" s="2" t="s">
        <v>663</v>
      </c>
      <c r="AA1" s="2" t="s">
        <v>664</v>
      </c>
      <c r="AB1" s="2" t="s">
        <v>665</v>
      </c>
      <c r="AC1" t="s">
        <v>1149</v>
      </c>
      <c r="AD1" t="s">
        <v>1150</v>
      </c>
      <c r="AE1" t="s">
        <v>1151</v>
      </c>
      <c r="AF1" s="2" t="s">
        <v>666</v>
      </c>
      <c r="AG1" s="2" t="s">
        <v>667</v>
      </c>
      <c r="AH1" t="s">
        <v>906</v>
      </c>
      <c r="AI1" t="s">
        <v>907</v>
      </c>
      <c r="AJ1" s="2" t="s">
        <v>668</v>
      </c>
      <c r="AK1" s="2" t="s">
        <v>669</v>
      </c>
      <c r="AL1" s="2" t="s">
        <v>670</v>
      </c>
      <c r="AM1" s="2" t="s">
        <v>671</v>
      </c>
      <c r="AN1" s="2" t="s">
        <v>672</v>
      </c>
      <c r="AO1" s="2" t="s">
        <v>673</v>
      </c>
      <c r="AP1" s="2" t="s">
        <v>674</v>
      </c>
      <c r="AQ1" s="2" t="s">
        <v>675</v>
      </c>
      <c r="AR1" s="2" t="s">
        <v>676</v>
      </c>
      <c r="AS1" t="s">
        <v>908</v>
      </c>
      <c r="AT1" t="s">
        <v>909</v>
      </c>
      <c r="AU1" t="s">
        <v>910</v>
      </c>
      <c r="AV1" t="s">
        <v>911</v>
      </c>
      <c r="AW1" t="s">
        <v>912</v>
      </c>
      <c r="AX1" t="s">
        <v>913</v>
      </c>
      <c r="AY1" t="s">
        <v>914</v>
      </c>
      <c r="AZ1" t="s">
        <v>915</v>
      </c>
      <c r="BA1" t="s">
        <v>916</v>
      </c>
      <c r="BB1" t="s">
        <v>917</v>
      </c>
      <c r="BC1" s="2" t="s">
        <v>677</v>
      </c>
      <c r="BD1" s="2" t="s">
        <v>678</v>
      </c>
      <c r="BE1" t="s">
        <v>918</v>
      </c>
      <c r="BF1" t="s">
        <v>919</v>
      </c>
      <c r="BG1" t="s">
        <v>920</v>
      </c>
    </row>
    <row r="2" spans="1:59" x14ac:dyDescent="0.2">
      <c r="A2">
        <v>76</v>
      </c>
      <c r="C2" t="s">
        <v>1324</v>
      </c>
      <c r="D2" t="s">
        <v>434</v>
      </c>
      <c r="E2" t="str">
        <f t="shared" ref="E2:E65" si="0">LEFT(D2, 8)</f>
        <v>z0037466</v>
      </c>
      <c r="F2" t="s">
        <v>648</v>
      </c>
      <c r="G2" s="6" t="s">
        <v>1325</v>
      </c>
      <c r="H2" t="s">
        <v>741</v>
      </c>
      <c r="I2" t="s">
        <v>1155</v>
      </c>
      <c r="J2" t="s">
        <v>1162</v>
      </c>
      <c r="K2">
        <v>21002</v>
      </c>
      <c r="L2" t="s">
        <v>680</v>
      </c>
      <c r="N2">
        <v>10862</v>
      </c>
      <c r="O2">
        <v>37466</v>
      </c>
      <c r="V2" t="s">
        <v>940</v>
      </c>
      <c r="W2" s="1">
        <v>37779</v>
      </c>
      <c r="X2">
        <v>2003</v>
      </c>
      <c r="Y2">
        <v>6</v>
      </c>
      <c r="Z2">
        <v>7</v>
      </c>
      <c r="AA2" t="s">
        <v>936</v>
      </c>
      <c r="AC2" t="s">
        <v>1308</v>
      </c>
      <c r="AD2" t="s">
        <v>1308</v>
      </c>
      <c r="AE2" t="s">
        <v>1309</v>
      </c>
      <c r="AF2" t="s">
        <v>937</v>
      </c>
      <c r="AJ2" t="s">
        <v>740</v>
      </c>
      <c r="AK2" t="s">
        <v>741</v>
      </c>
      <c r="AL2" t="s">
        <v>686</v>
      </c>
      <c r="AM2" t="s">
        <v>687</v>
      </c>
      <c r="AN2" t="s">
        <v>687</v>
      </c>
      <c r="AR2" t="s">
        <v>688</v>
      </c>
      <c r="AS2" t="s">
        <v>922</v>
      </c>
      <c r="AT2">
        <v>115.35</v>
      </c>
      <c r="BD2" t="s">
        <v>928</v>
      </c>
      <c r="BE2">
        <v>40862.384016203701</v>
      </c>
      <c r="BF2" t="s">
        <v>923</v>
      </c>
    </row>
    <row r="3" spans="1:59" x14ac:dyDescent="0.2">
      <c r="A3">
        <v>77</v>
      </c>
      <c r="C3" t="s">
        <v>1326</v>
      </c>
      <c r="D3" t="s">
        <v>435</v>
      </c>
      <c r="E3" t="str">
        <f t="shared" si="0"/>
        <v>z0037467</v>
      </c>
      <c r="F3" t="s">
        <v>648</v>
      </c>
      <c r="G3" s="6" t="s">
        <v>1327</v>
      </c>
      <c r="H3" t="s">
        <v>741</v>
      </c>
      <c r="I3" t="s">
        <v>1155</v>
      </c>
      <c r="J3" t="s">
        <v>1162</v>
      </c>
      <c r="K3">
        <v>21003</v>
      </c>
      <c r="L3" t="s">
        <v>680</v>
      </c>
      <c r="N3">
        <v>10863</v>
      </c>
      <c r="O3">
        <v>37467</v>
      </c>
      <c r="V3" t="s">
        <v>935</v>
      </c>
      <c r="W3" s="1">
        <v>37771</v>
      </c>
      <c r="X3">
        <v>2003</v>
      </c>
      <c r="Y3">
        <v>5</v>
      </c>
      <c r="Z3">
        <v>30</v>
      </c>
      <c r="AA3" t="s">
        <v>936</v>
      </c>
      <c r="AC3" t="s">
        <v>1308</v>
      </c>
      <c r="AD3" t="s">
        <v>1308</v>
      </c>
      <c r="AE3" t="s">
        <v>1309</v>
      </c>
      <c r="AF3" t="s">
        <v>937</v>
      </c>
      <c r="AJ3" t="s">
        <v>740</v>
      </c>
      <c r="AK3" t="s">
        <v>741</v>
      </c>
      <c r="AL3" t="s">
        <v>686</v>
      </c>
      <c r="AM3" t="s">
        <v>687</v>
      </c>
      <c r="AN3" t="s">
        <v>687</v>
      </c>
      <c r="AR3" t="s">
        <v>688</v>
      </c>
      <c r="AS3" t="s">
        <v>922</v>
      </c>
      <c r="AT3">
        <v>183.75</v>
      </c>
      <c r="BD3" t="s">
        <v>928</v>
      </c>
      <c r="BE3">
        <v>40862.384016203701</v>
      </c>
      <c r="BF3" t="s">
        <v>923</v>
      </c>
    </row>
    <row r="4" spans="1:59" ht="16" customHeight="1" x14ac:dyDescent="0.2">
      <c r="A4">
        <v>78</v>
      </c>
      <c r="C4" t="s">
        <v>1328</v>
      </c>
      <c r="D4" t="s">
        <v>436</v>
      </c>
      <c r="E4" t="str">
        <f t="shared" si="0"/>
        <v>z0037468</v>
      </c>
      <c r="F4" t="s">
        <v>648</v>
      </c>
      <c r="G4" s="6" t="s">
        <v>1329</v>
      </c>
      <c r="H4" t="s">
        <v>741</v>
      </c>
      <c r="I4" t="s">
        <v>1155</v>
      </c>
      <c r="J4" t="s">
        <v>1162</v>
      </c>
      <c r="K4">
        <v>21004</v>
      </c>
      <c r="L4" t="s">
        <v>680</v>
      </c>
      <c r="N4">
        <v>10864</v>
      </c>
      <c r="O4">
        <v>37468</v>
      </c>
      <c r="V4" t="s">
        <v>942</v>
      </c>
      <c r="W4" s="1">
        <v>37785</v>
      </c>
      <c r="X4">
        <v>2003</v>
      </c>
      <c r="Y4">
        <v>6</v>
      </c>
      <c r="Z4">
        <v>13</v>
      </c>
      <c r="AA4" t="s">
        <v>936</v>
      </c>
      <c r="AC4" t="s">
        <v>1308</v>
      </c>
      <c r="AD4" t="s">
        <v>1308</v>
      </c>
      <c r="AE4" t="s">
        <v>1309</v>
      </c>
      <c r="AF4" t="s">
        <v>937</v>
      </c>
      <c r="AJ4" t="s">
        <v>740</v>
      </c>
      <c r="AK4" t="s">
        <v>741</v>
      </c>
      <c r="AL4" t="s">
        <v>686</v>
      </c>
      <c r="AM4" t="s">
        <v>687</v>
      </c>
      <c r="AN4" t="s">
        <v>687</v>
      </c>
      <c r="AR4" t="s">
        <v>688</v>
      </c>
      <c r="AS4" t="s">
        <v>922</v>
      </c>
      <c r="AT4">
        <v>126.65</v>
      </c>
      <c r="BD4" t="s">
        <v>928</v>
      </c>
      <c r="BE4">
        <v>40862.384016203701</v>
      </c>
      <c r="BF4" t="s">
        <v>923</v>
      </c>
    </row>
    <row r="5" spans="1:59" ht="16" customHeight="1" x14ac:dyDescent="0.2">
      <c r="A5">
        <v>68</v>
      </c>
      <c r="C5" t="s">
        <v>1306</v>
      </c>
      <c r="D5" t="s">
        <v>425</v>
      </c>
      <c r="E5" t="str">
        <f t="shared" si="0"/>
        <v>z0037412</v>
      </c>
      <c r="F5" t="s">
        <v>648</v>
      </c>
      <c r="G5" s="6" t="s">
        <v>1307</v>
      </c>
      <c r="H5" t="s">
        <v>741</v>
      </c>
      <c r="I5" t="s">
        <v>1155</v>
      </c>
      <c r="J5" t="s">
        <v>1156</v>
      </c>
      <c r="K5">
        <v>20948</v>
      </c>
      <c r="L5" t="s">
        <v>680</v>
      </c>
      <c r="N5">
        <v>10808</v>
      </c>
      <c r="O5">
        <v>37412</v>
      </c>
      <c r="V5" t="s">
        <v>951</v>
      </c>
      <c r="W5" s="1">
        <v>37825</v>
      </c>
      <c r="X5">
        <v>2003</v>
      </c>
      <c r="Y5">
        <v>7</v>
      </c>
      <c r="Z5">
        <v>23</v>
      </c>
      <c r="AA5" t="s">
        <v>936</v>
      </c>
      <c r="AC5" t="s">
        <v>1308</v>
      </c>
      <c r="AD5" t="s">
        <v>1308</v>
      </c>
      <c r="AE5" t="s">
        <v>1309</v>
      </c>
      <c r="AF5" t="s">
        <v>948</v>
      </c>
      <c r="AJ5" t="s">
        <v>740</v>
      </c>
      <c r="AK5" t="s">
        <v>741</v>
      </c>
      <c r="AL5" t="s">
        <v>686</v>
      </c>
      <c r="AM5" t="s">
        <v>687</v>
      </c>
      <c r="AN5" t="s">
        <v>687</v>
      </c>
      <c r="AR5" t="s">
        <v>949</v>
      </c>
      <c r="AS5" t="s">
        <v>950</v>
      </c>
      <c r="AT5">
        <v>111.95</v>
      </c>
      <c r="BD5" t="s">
        <v>928</v>
      </c>
      <c r="BE5">
        <v>40862.384016203701</v>
      </c>
      <c r="BF5" t="s">
        <v>923</v>
      </c>
    </row>
    <row r="6" spans="1:59" ht="16" customHeight="1" x14ac:dyDescent="0.2">
      <c r="A6">
        <v>69</v>
      </c>
      <c r="C6" t="s">
        <v>1310</v>
      </c>
      <c r="D6" t="s">
        <v>426</v>
      </c>
      <c r="E6" t="str">
        <f t="shared" si="0"/>
        <v>z0037417</v>
      </c>
      <c r="F6" t="s">
        <v>648</v>
      </c>
      <c r="G6" s="6" t="s">
        <v>1311</v>
      </c>
      <c r="H6" t="s">
        <v>741</v>
      </c>
      <c r="I6" t="s">
        <v>1155</v>
      </c>
      <c r="J6" t="s">
        <v>1162</v>
      </c>
      <c r="K6">
        <v>20953</v>
      </c>
      <c r="L6" t="s">
        <v>680</v>
      </c>
      <c r="N6">
        <v>10813</v>
      </c>
      <c r="O6">
        <v>37417</v>
      </c>
      <c r="V6" t="s">
        <v>954</v>
      </c>
      <c r="W6" s="1">
        <v>37827</v>
      </c>
      <c r="X6">
        <v>2003</v>
      </c>
      <c r="Y6">
        <v>7</v>
      </c>
      <c r="Z6">
        <v>25</v>
      </c>
      <c r="AA6" t="s">
        <v>936</v>
      </c>
      <c r="AC6" t="s">
        <v>1308</v>
      </c>
      <c r="AD6" t="s">
        <v>1308</v>
      </c>
      <c r="AE6" t="s">
        <v>1309</v>
      </c>
      <c r="AF6" t="s">
        <v>948</v>
      </c>
      <c r="AJ6" t="s">
        <v>740</v>
      </c>
      <c r="AK6" t="s">
        <v>741</v>
      </c>
      <c r="AL6" t="s">
        <v>686</v>
      </c>
      <c r="AM6" t="s">
        <v>687</v>
      </c>
      <c r="AN6" t="s">
        <v>687</v>
      </c>
      <c r="AR6" t="s">
        <v>949</v>
      </c>
      <c r="AS6" t="s">
        <v>950</v>
      </c>
      <c r="AT6">
        <v>201.15</v>
      </c>
      <c r="BD6" t="s">
        <v>928</v>
      </c>
      <c r="BE6">
        <v>40862.384016203701</v>
      </c>
      <c r="BF6" t="s">
        <v>923</v>
      </c>
    </row>
    <row r="7" spans="1:59" ht="16" customHeight="1" x14ac:dyDescent="0.2">
      <c r="A7">
        <v>70</v>
      </c>
      <c r="C7" t="s">
        <v>1312</v>
      </c>
      <c r="D7" t="s">
        <v>427</v>
      </c>
      <c r="E7" t="str">
        <f t="shared" si="0"/>
        <v>z0037418</v>
      </c>
      <c r="F7" t="s">
        <v>648</v>
      </c>
      <c r="G7" s="6" t="s">
        <v>1313</v>
      </c>
      <c r="H7" t="s">
        <v>741</v>
      </c>
      <c r="I7" t="s">
        <v>1155</v>
      </c>
      <c r="J7" t="s">
        <v>1162</v>
      </c>
      <c r="K7">
        <v>20954</v>
      </c>
      <c r="L7" t="s">
        <v>680</v>
      </c>
      <c r="N7">
        <v>10814</v>
      </c>
      <c r="O7">
        <v>37418</v>
      </c>
      <c r="V7" t="s">
        <v>947</v>
      </c>
      <c r="W7" s="1">
        <v>37822</v>
      </c>
      <c r="X7">
        <v>2003</v>
      </c>
      <c r="Y7">
        <v>7</v>
      </c>
      <c r="Z7">
        <v>20</v>
      </c>
      <c r="AA7" t="s">
        <v>936</v>
      </c>
      <c r="AC7" t="s">
        <v>1308</v>
      </c>
      <c r="AD7" t="s">
        <v>1308</v>
      </c>
      <c r="AE7" t="s">
        <v>1309</v>
      </c>
      <c r="AF7" t="s">
        <v>948</v>
      </c>
      <c r="AJ7" t="s">
        <v>740</v>
      </c>
      <c r="AK7" t="s">
        <v>741</v>
      </c>
      <c r="AL7" t="s">
        <v>686</v>
      </c>
      <c r="AM7" t="s">
        <v>687</v>
      </c>
      <c r="AN7" t="s">
        <v>687</v>
      </c>
      <c r="AR7" t="s">
        <v>949</v>
      </c>
      <c r="AS7" t="s">
        <v>950</v>
      </c>
      <c r="AT7">
        <v>138.85</v>
      </c>
      <c r="BD7" t="s">
        <v>928</v>
      </c>
      <c r="BE7">
        <v>40862.384016203701</v>
      </c>
      <c r="BF7" t="s">
        <v>923</v>
      </c>
    </row>
    <row r="8" spans="1:59" ht="16" customHeight="1" x14ac:dyDescent="0.2">
      <c r="A8">
        <v>71</v>
      </c>
      <c r="C8" t="s">
        <v>1314</v>
      </c>
      <c r="D8" t="s">
        <v>428</v>
      </c>
      <c r="E8" t="str">
        <f t="shared" si="0"/>
        <v>z0037419</v>
      </c>
      <c r="F8" t="s">
        <v>648</v>
      </c>
      <c r="G8" s="6" t="s">
        <v>1315</v>
      </c>
      <c r="H8" t="s">
        <v>741</v>
      </c>
      <c r="I8" t="s">
        <v>1155</v>
      </c>
      <c r="J8" t="s">
        <v>1162</v>
      </c>
      <c r="K8">
        <v>20955</v>
      </c>
      <c r="L8" t="s">
        <v>680</v>
      </c>
      <c r="N8">
        <v>10815</v>
      </c>
      <c r="O8">
        <v>37419</v>
      </c>
      <c r="V8" t="s">
        <v>952</v>
      </c>
      <c r="W8" s="1">
        <v>37826</v>
      </c>
      <c r="X8">
        <v>2003</v>
      </c>
      <c r="Y8">
        <v>7</v>
      </c>
      <c r="Z8">
        <v>24</v>
      </c>
      <c r="AA8" t="s">
        <v>936</v>
      </c>
      <c r="AC8" t="s">
        <v>1308</v>
      </c>
      <c r="AD8" t="s">
        <v>1308</v>
      </c>
      <c r="AE8" t="s">
        <v>1309</v>
      </c>
      <c r="AF8" t="s">
        <v>948</v>
      </c>
      <c r="AJ8" t="s">
        <v>740</v>
      </c>
      <c r="AK8" t="s">
        <v>741</v>
      </c>
      <c r="AL8" t="s">
        <v>686</v>
      </c>
      <c r="AM8" t="s">
        <v>687</v>
      </c>
      <c r="AN8" t="s">
        <v>687</v>
      </c>
      <c r="AR8" t="s">
        <v>949</v>
      </c>
      <c r="AS8" t="s">
        <v>950</v>
      </c>
      <c r="AT8">
        <v>62.25</v>
      </c>
      <c r="BD8" t="s">
        <v>928</v>
      </c>
      <c r="BE8">
        <v>40862.384016203701</v>
      </c>
      <c r="BF8" t="s">
        <v>923</v>
      </c>
    </row>
    <row r="9" spans="1:59" ht="16" customHeight="1" x14ac:dyDescent="0.2">
      <c r="A9">
        <v>72</v>
      </c>
      <c r="C9" t="s">
        <v>1316</v>
      </c>
      <c r="D9" t="s">
        <v>430</v>
      </c>
      <c r="E9" t="str">
        <f t="shared" si="0"/>
        <v>z0037422</v>
      </c>
      <c r="F9" t="s">
        <v>648</v>
      </c>
      <c r="G9" s="6" t="s">
        <v>1317</v>
      </c>
      <c r="H9" t="s">
        <v>741</v>
      </c>
      <c r="I9" t="s">
        <v>1155</v>
      </c>
      <c r="J9" t="s">
        <v>1162</v>
      </c>
      <c r="K9">
        <v>20958</v>
      </c>
      <c r="L9" t="s">
        <v>680</v>
      </c>
      <c r="N9">
        <v>10818</v>
      </c>
      <c r="O9">
        <v>37422</v>
      </c>
      <c r="V9" t="s">
        <v>953</v>
      </c>
      <c r="W9" s="1">
        <v>37826</v>
      </c>
      <c r="X9">
        <v>2003</v>
      </c>
      <c r="Y9">
        <v>7</v>
      </c>
      <c r="Z9">
        <v>24</v>
      </c>
      <c r="AA9" t="s">
        <v>936</v>
      </c>
      <c r="AC9" t="s">
        <v>1308</v>
      </c>
      <c r="AD9" t="s">
        <v>1308</v>
      </c>
      <c r="AE9" t="s">
        <v>1309</v>
      </c>
      <c r="AF9" t="s">
        <v>948</v>
      </c>
      <c r="AJ9" t="s">
        <v>740</v>
      </c>
      <c r="AK9" t="s">
        <v>741</v>
      </c>
      <c r="AL9" t="s">
        <v>686</v>
      </c>
      <c r="AM9" t="s">
        <v>687</v>
      </c>
      <c r="AN9" t="s">
        <v>687</v>
      </c>
      <c r="AR9" t="s">
        <v>949</v>
      </c>
      <c r="AS9" t="s">
        <v>950</v>
      </c>
      <c r="AT9">
        <v>141.05000000000001</v>
      </c>
      <c r="BD9" t="s">
        <v>928</v>
      </c>
      <c r="BE9">
        <v>40862.384016203701</v>
      </c>
      <c r="BF9" t="s">
        <v>923</v>
      </c>
    </row>
    <row r="10" spans="1:59" ht="16" customHeight="1" x14ac:dyDescent="0.2">
      <c r="A10">
        <v>88</v>
      </c>
      <c r="C10" t="s">
        <v>1348</v>
      </c>
      <c r="D10" t="s">
        <v>457</v>
      </c>
      <c r="E10" t="str">
        <f t="shared" si="0"/>
        <v>z0062622</v>
      </c>
      <c r="F10" t="s">
        <v>648</v>
      </c>
      <c r="G10" s="6" t="s">
        <v>1349</v>
      </c>
      <c r="H10" t="s">
        <v>741</v>
      </c>
      <c r="I10" t="s">
        <v>1155</v>
      </c>
      <c r="J10" t="s">
        <v>1156</v>
      </c>
      <c r="K10">
        <v>35599</v>
      </c>
      <c r="L10" t="s">
        <v>680</v>
      </c>
      <c r="N10">
        <v>23679</v>
      </c>
      <c r="O10">
        <v>62622</v>
      </c>
      <c r="V10" t="s">
        <v>968</v>
      </c>
      <c r="W10" s="1">
        <v>38573</v>
      </c>
      <c r="X10">
        <v>2005</v>
      </c>
      <c r="Y10">
        <v>8</v>
      </c>
      <c r="Z10">
        <v>9</v>
      </c>
      <c r="AA10" t="s">
        <v>738</v>
      </c>
      <c r="AC10" t="s">
        <v>1308</v>
      </c>
      <c r="AD10" t="s">
        <v>1308</v>
      </c>
      <c r="AE10" t="s">
        <v>1309</v>
      </c>
      <c r="AF10" t="s">
        <v>948</v>
      </c>
      <c r="AJ10" t="s">
        <v>740</v>
      </c>
      <c r="AK10" t="s">
        <v>741</v>
      </c>
      <c r="AL10" t="s">
        <v>686</v>
      </c>
      <c r="AM10" t="s">
        <v>687</v>
      </c>
      <c r="AN10" t="s">
        <v>687</v>
      </c>
      <c r="BD10" t="s">
        <v>715</v>
      </c>
      <c r="BE10">
        <v>40862.384016203701</v>
      </c>
      <c r="BF10" t="s">
        <v>923</v>
      </c>
    </row>
    <row r="11" spans="1:59" ht="16" customHeight="1" x14ac:dyDescent="0.2">
      <c r="A11">
        <v>89</v>
      </c>
      <c r="C11" t="s">
        <v>1350</v>
      </c>
      <c r="D11" t="s">
        <v>459</v>
      </c>
      <c r="E11" t="str">
        <f t="shared" si="0"/>
        <v>z0062627</v>
      </c>
      <c r="F11" t="s">
        <v>648</v>
      </c>
      <c r="G11" s="6" t="s">
        <v>1351</v>
      </c>
      <c r="H11" t="s">
        <v>741</v>
      </c>
      <c r="I11" t="s">
        <v>1155</v>
      </c>
      <c r="J11" t="s">
        <v>1162</v>
      </c>
      <c r="K11">
        <v>35604</v>
      </c>
      <c r="L11" t="s">
        <v>680</v>
      </c>
      <c r="N11">
        <v>23684</v>
      </c>
      <c r="O11">
        <v>62627</v>
      </c>
      <c r="V11" t="s">
        <v>976</v>
      </c>
      <c r="W11" s="1">
        <v>38861</v>
      </c>
      <c r="X11">
        <v>2006</v>
      </c>
      <c r="Y11">
        <v>5</v>
      </c>
      <c r="Z11">
        <v>24</v>
      </c>
      <c r="AA11" t="s">
        <v>738</v>
      </c>
      <c r="AC11" t="s">
        <v>1308</v>
      </c>
      <c r="AD11" t="s">
        <v>1308</v>
      </c>
      <c r="AE11" t="s">
        <v>1309</v>
      </c>
      <c r="AF11" t="s">
        <v>948</v>
      </c>
      <c r="AJ11" t="s">
        <v>740</v>
      </c>
      <c r="AK11" t="s">
        <v>741</v>
      </c>
      <c r="AL11" t="s">
        <v>686</v>
      </c>
      <c r="AM11" t="s">
        <v>687</v>
      </c>
      <c r="AN11" t="s">
        <v>687</v>
      </c>
      <c r="BD11" t="s">
        <v>715</v>
      </c>
      <c r="BE11">
        <v>40862.384016203701</v>
      </c>
      <c r="BF11" t="s">
        <v>923</v>
      </c>
    </row>
    <row r="12" spans="1:59" ht="16" customHeight="1" x14ac:dyDescent="0.2">
      <c r="A12">
        <v>90</v>
      </c>
      <c r="C12" t="s">
        <v>1352</v>
      </c>
      <c r="D12" t="s">
        <v>461</v>
      </c>
      <c r="E12" t="str">
        <f t="shared" si="0"/>
        <v>z0062630</v>
      </c>
      <c r="F12" t="s">
        <v>648</v>
      </c>
      <c r="G12" s="6" t="s">
        <v>1353</v>
      </c>
      <c r="H12" t="s">
        <v>741</v>
      </c>
      <c r="I12" t="s">
        <v>1155</v>
      </c>
      <c r="J12" t="s">
        <v>1162</v>
      </c>
      <c r="K12">
        <v>35607</v>
      </c>
      <c r="L12" t="s">
        <v>680</v>
      </c>
      <c r="N12">
        <v>23687</v>
      </c>
      <c r="O12">
        <v>62630</v>
      </c>
      <c r="V12" t="s">
        <v>1132</v>
      </c>
      <c r="W12" s="1" t="s">
        <v>1133</v>
      </c>
      <c r="X12">
        <v>2005</v>
      </c>
      <c r="AA12" t="s">
        <v>738</v>
      </c>
      <c r="AC12" t="s">
        <v>1308</v>
      </c>
      <c r="AD12" t="s">
        <v>1308</v>
      </c>
      <c r="AE12" t="s">
        <v>1309</v>
      </c>
      <c r="AF12" t="s">
        <v>948</v>
      </c>
      <c r="AJ12" t="s">
        <v>740</v>
      </c>
      <c r="AK12" t="s">
        <v>741</v>
      </c>
      <c r="AL12" t="s">
        <v>686</v>
      </c>
      <c r="AM12" t="s">
        <v>687</v>
      </c>
      <c r="AN12" t="s">
        <v>687</v>
      </c>
      <c r="BD12" t="s">
        <v>715</v>
      </c>
      <c r="BE12">
        <v>40862.384016203701</v>
      </c>
      <c r="BF12" t="s">
        <v>923</v>
      </c>
    </row>
    <row r="13" spans="1:59" ht="16" customHeight="1" x14ac:dyDescent="0.2">
      <c r="A13">
        <v>91</v>
      </c>
      <c r="C13" t="s">
        <v>1354</v>
      </c>
      <c r="D13" t="s">
        <v>464</v>
      </c>
      <c r="E13" t="str">
        <f t="shared" si="0"/>
        <v>z0062634</v>
      </c>
      <c r="F13" t="s">
        <v>648</v>
      </c>
      <c r="G13" s="6" t="s">
        <v>1355</v>
      </c>
      <c r="H13" t="s">
        <v>741</v>
      </c>
      <c r="I13" t="s">
        <v>1155</v>
      </c>
      <c r="J13" t="s">
        <v>1162</v>
      </c>
      <c r="K13">
        <v>35611</v>
      </c>
      <c r="L13" t="s">
        <v>680</v>
      </c>
      <c r="N13">
        <v>23691</v>
      </c>
      <c r="O13">
        <v>62634</v>
      </c>
      <c r="V13" t="s">
        <v>977</v>
      </c>
      <c r="W13" s="1">
        <v>38923</v>
      </c>
      <c r="X13">
        <v>2006</v>
      </c>
      <c r="Y13">
        <v>7</v>
      </c>
      <c r="Z13">
        <v>25</v>
      </c>
      <c r="AA13" t="s">
        <v>738</v>
      </c>
      <c r="AC13" t="s">
        <v>1308</v>
      </c>
      <c r="AD13" t="s">
        <v>1308</v>
      </c>
      <c r="AE13" t="s">
        <v>1309</v>
      </c>
      <c r="AF13" t="s">
        <v>948</v>
      </c>
      <c r="AJ13" t="s">
        <v>740</v>
      </c>
      <c r="AK13" t="s">
        <v>741</v>
      </c>
      <c r="AL13" t="s">
        <v>686</v>
      </c>
      <c r="AM13" t="s">
        <v>687</v>
      </c>
      <c r="AN13" t="s">
        <v>687</v>
      </c>
      <c r="BD13" t="s">
        <v>715</v>
      </c>
      <c r="BE13">
        <v>40862.384016203701</v>
      </c>
      <c r="BF13" t="s">
        <v>923</v>
      </c>
    </row>
    <row r="14" spans="1:59" ht="16" customHeight="1" x14ac:dyDescent="0.2">
      <c r="A14">
        <v>92</v>
      </c>
      <c r="C14" t="s">
        <v>1356</v>
      </c>
      <c r="D14" t="s">
        <v>466</v>
      </c>
      <c r="E14" t="str">
        <f t="shared" si="0"/>
        <v>z0062636</v>
      </c>
      <c r="F14" t="s">
        <v>648</v>
      </c>
      <c r="G14" s="6" t="s">
        <v>1357</v>
      </c>
      <c r="H14" t="s">
        <v>741</v>
      </c>
      <c r="I14" t="s">
        <v>1155</v>
      </c>
      <c r="J14" t="s">
        <v>1162</v>
      </c>
      <c r="K14">
        <v>35613</v>
      </c>
      <c r="L14" t="s">
        <v>680</v>
      </c>
      <c r="N14">
        <v>23693</v>
      </c>
      <c r="O14">
        <v>62636</v>
      </c>
      <c r="V14" t="s">
        <v>967</v>
      </c>
      <c r="W14" s="1">
        <v>38563</v>
      </c>
      <c r="X14">
        <v>2005</v>
      </c>
      <c r="Y14">
        <v>7</v>
      </c>
      <c r="Z14">
        <v>30</v>
      </c>
      <c r="AA14" t="s">
        <v>738</v>
      </c>
      <c r="AC14" t="s">
        <v>1308</v>
      </c>
      <c r="AD14" t="s">
        <v>1308</v>
      </c>
      <c r="AE14" t="s">
        <v>1309</v>
      </c>
      <c r="AF14" t="s">
        <v>948</v>
      </c>
      <c r="AJ14" t="s">
        <v>740</v>
      </c>
      <c r="AK14" t="s">
        <v>741</v>
      </c>
      <c r="AL14" t="s">
        <v>686</v>
      </c>
      <c r="AM14" t="s">
        <v>687</v>
      </c>
      <c r="AN14" t="s">
        <v>687</v>
      </c>
      <c r="BD14" t="s">
        <v>715</v>
      </c>
      <c r="BE14">
        <v>40862.384016203701</v>
      </c>
      <c r="BF14" t="s">
        <v>923</v>
      </c>
    </row>
    <row r="15" spans="1:59" ht="16" customHeight="1" x14ac:dyDescent="0.2">
      <c r="A15">
        <v>93</v>
      </c>
      <c r="C15" t="s">
        <v>1358</v>
      </c>
      <c r="D15" t="s">
        <v>468</v>
      </c>
      <c r="E15" t="str">
        <f t="shared" si="0"/>
        <v>z0062680</v>
      </c>
      <c r="F15" t="s">
        <v>648</v>
      </c>
      <c r="G15" s="6" t="s">
        <v>1359</v>
      </c>
      <c r="H15" t="s">
        <v>741</v>
      </c>
      <c r="I15" t="s">
        <v>1155</v>
      </c>
      <c r="J15" t="s">
        <v>1162</v>
      </c>
      <c r="K15">
        <v>35657</v>
      </c>
      <c r="L15" t="s">
        <v>680</v>
      </c>
      <c r="N15">
        <v>23737</v>
      </c>
      <c r="O15">
        <v>62680</v>
      </c>
      <c r="V15" t="s">
        <v>969</v>
      </c>
      <c r="W15" s="1">
        <v>38573</v>
      </c>
      <c r="X15">
        <v>2005</v>
      </c>
      <c r="Y15">
        <v>8</v>
      </c>
      <c r="Z15">
        <v>9</v>
      </c>
      <c r="AA15" t="s">
        <v>738</v>
      </c>
      <c r="AC15" t="s">
        <v>1308</v>
      </c>
      <c r="AD15" t="s">
        <v>1308</v>
      </c>
      <c r="AE15" t="s">
        <v>1309</v>
      </c>
      <c r="AF15" t="s">
        <v>948</v>
      </c>
      <c r="AJ15" t="s">
        <v>740</v>
      </c>
      <c r="AK15" t="s">
        <v>741</v>
      </c>
      <c r="AL15" t="s">
        <v>686</v>
      </c>
      <c r="AM15" t="s">
        <v>687</v>
      </c>
      <c r="AN15" t="s">
        <v>687</v>
      </c>
      <c r="BD15" t="s">
        <v>715</v>
      </c>
      <c r="BE15">
        <v>40862.384016203701</v>
      </c>
      <c r="BF15" t="s">
        <v>923</v>
      </c>
    </row>
    <row r="16" spans="1:59" ht="16" customHeight="1" x14ac:dyDescent="0.2">
      <c r="A16">
        <v>94</v>
      </c>
      <c r="C16" t="s">
        <v>1360</v>
      </c>
      <c r="D16" t="s">
        <v>470</v>
      </c>
      <c r="E16" t="str">
        <f t="shared" si="0"/>
        <v>z0062681</v>
      </c>
      <c r="F16" t="s">
        <v>648</v>
      </c>
      <c r="G16" s="6" t="s">
        <v>1361</v>
      </c>
      <c r="H16" t="s">
        <v>741</v>
      </c>
      <c r="I16" t="s">
        <v>1155</v>
      </c>
      <c r="J16" t="s">
        <v>1162</v>
      </c>
      <c r="K16">
        <v>35658</v>
      </c>
      <c r="L16" t="s">
        <v>680</v>
      </c>
      <c r="N16">
        <v>23738</v>
      </c>
      <c r="O16">
        <v>62681</v>
      </c>
      <c r="V16" t="s">
        <v>978</v>
      </c>
      <c r="W16" s="1">
        <v>38924</v>
      </c>
      <c r="X16">
        <v>2006</v>
      </c>
      <c r="Y16">
        <v>7</v>
      </c>
      <c r="Z16">
        <v>26</v>
      </c>
      <c r="AA16" t="s">
        <v>738</v>
      </c>
      <c r="AC16" t="s">
        <v>1308</v>
      </c>
      <c r="AD16" t="s">
        <v>1308</v>
      </c>
      <c r="AE16" t="s">
        <v>1309</v>
      </c>
      <c r="AF16" t="s">
        <v>948</v>
      </c>
      <c r="AJ16" t="s">
        <v>740</v>
      </c>
      <c r="AK16" t="s">
        <v>741</v>
      </c>
      <c r="AL16" t="s">
        <v>686</v>
      </c>
      <c r="AM16" t="s">
        <v>687</v>
      </c>
      <c r="AN16" t="s">
        <v>687</v>
      </c>
      <c r="BD16" t="s">
        <v>715</v>
      </c>
      <c r="BE16">
        <v>40862.384016203701</v>
      </c>
      <c r="BF16" t="s">
        <v>923</v>
      </c>
    </row>
    <row r="17" spans="1:59" ht="16" customHeight="1" x14ac:dyDescent="0.2">
      <c r="A17">
        <v>103</v>
      </c>
      <c r="C17" t="s">
        <v>1380</v>
      </c>
      <c r="D17" t="s">
        <v>544</v>
      </c>
      <c r="E17" t="str">
        <f t="shared" si="0"/>
        <v>z0076691</v>
      </c>
      <c r="F17" t="s">
        <v>648</v>
      </c>
      <c r="G17" s="6" t="s">
        <v>1381</v>
      </c>
      <c r="H17" t="s">
        <v>741</v>
      </c>
      <c r="I17" t="s">
        <v>1155</v>
      </c>
      <c r="J17" t="s">
        <v>1162</v>
      </c>
      <c r="K17">
        <v>45042</v>
      </c>
      <c r="L17" t="s">
        <v>680</v>
      </c>
      <c r="N17">
        <v>32439</v>
      </c>
      <c r="O17">
        <v>76691</v>
      </c>
      <c r="V17" t="s">
        <v>1011</v>
      </c>
      <c r="W17" s="1">
        <v>39292</v>
      </c>
      <c r="X17">
        <v>2007</v>
      </c>
      <c r="Y17">
        <v>7</v>
      </c>
      <c r="Z17">
        <v>29</v>
      </c>
      <c r="AA17" t="s">
        <v>987</v>
      </c>
      <c r="AC17" t="s">
        <v>1308</v>
      </c>
      <c r="AD17" t="s">
        <v>1308</v>
      </c>
      <c r="AE17" t="s">
        <v>1309</v>
      </c>
      <c r="AF17" t="s">
        <v>948</v>
      </c>
      <c r="AJ17" t="s">
        <v>740</v>
      </c>
      <c r="AK17" t="s">
        <v>741</v>
      </c>
      <c r="AL17" t="s">
        <v>686</v>
      </c>
      <c r="AM17" t="s">
        <v>687</v>
      </c>
      <c r="AN17" t="s">
        <v>687</v>
      </c>
      <c r="BC17" t="s">
        <v>1012</v>
      </c>
      <c r="BD17" t="s">
        <v>715</v>
      </c>
      <c r="BE17">
        <v>40862.384016203701</v>
      </c>
      <c r="BF17" t="s">
        <v>923</v>
      </c>
      <c r="BG17">
        <v>39792.715879629628</v>
      </c>
    </row>
    <row r="18" spans="1:59" ht="16" customHeight="1" x14ac:dyDescent="0.2">
      <c r="A18">
        <v>104</v>
      </c>
      <c r="C18" t="s">
        <v>1382</v>
      </c>
      <c r="D18" t="s">
        <v>546</v>
      </c>
      <c r="E18" t="str">
        <f t="shared" si="0"/>
        <v>z0076693</v>
      </c>
      <c r="F18" t="s">
        <v>648</v>
      </c>
      <c r="G18" s="6" t="s">
        <v>1383</v>
      </c>
      <c r="H18" t="s">
        <v>741</v>
      </c>
      <c r="I18" t="s">
        <v>1155</v>
      </c>
      <c r="J18" t="s">
        <v>1162</v>
      </c>
      <c r="K18">
        <v>45044</v>
      </c>
      <c r="L18" t="s">
        <v>680</v>
      </c>
      <c r="N18">
        <v>32441</v>
      </c>
      <c r="O18">
        <v>76693</v>
      </c>
      <c r="V18" t="s">
        <v>1007</v>
      </c>
      <c r="W18" s="1">
        <v>39290</v>
      </c>
      <c r="X18">
        <v>2007</v>
      </c>
      <c r="Y18">
        <v>7</v>
      </c>
      <c r="Z18">
        <v>27</v>
      </c>
      <c r="AA18" t="s">
        <v>987</v>
      </c>
      <c r="AC18" t="s">
        <v>1308</v>
      </c>
      <c r="AD18" t="s">
        <v>1308</v>
      </c>
      <c r="AE18" t="s">
        <v>1309</v>
      </c>
      <c r="AF18" t="s">
        <v>948</v>
      </c>
      <c r="AJ18" t="s">
        <v>740</v>
      </c>
      <c r="AK18" t="s">
        <v>741</v>
      </c>
      <c r="AL18" t="s">
        <v>686</v>
      </c>
      <c r="AM18" t="s">
        <v>687</v>
      </c>
      <c r="AN18" t="s">
        <v>687</v>
      </c>
      <c r="BC18" t="s">
        <v>1008</v>
      </c>
      <c r="BD18" t="s">
        <v>715</v>
      </c>
      <c r="BE18">
        <v>40862.384016203701</v>
      </c>
      <c r="BF18" t="s">
        <v>923</v>
      </c>
      <c r="BG18">
        <v>39792.715879629628</v>
      </c>
    </row>
    <row r="19" spans="1:59" ht="16" customHeight="1" x14ac:dyDescent="0.2">
      <c r="A19">
        <v>105</v>
      </c>
      <c r="C19" t="s">
        <v>1384</v>
      </c>
      <c r="D19" t="s">
        <v>547</v>
      </c>
      <c r="E19" t="str">
        <f t="shared" si="0"/>
        <v>z0076695</v>
      </c>
      <c r="F19" t="s">
        <v>648</v>
      </c>
      <c r="G19" s="6" t="s">
        <v>1385</v>
      </c>
      <c r="H19" t="s">
        <v>741</v>
      </c>
      <c r="I19" t="s">
        <v>1155</v>
      </c>
      <c r="J19" t="s">
        <v>1162</v>
      </c>
      <c r="K19">
        <v>45046</v>
      </c>
      <c r="L19" t="s">
        <v>680</v>
      </c>
      <c r="N19">
        <v>32443</v>
      </c>
      <c r="O19">
        <v>76695</v>
      </c>
      <c r="V19" t="s">
        <v>1009</v>
      </c>
      <c r="W19" s="1">
        <v>39290</v>
      </c>
      <c r="X19">
        <v>2007</v>
      </c>
      <c r="Y19">
        <v>7</v>
      </c>
      <c r="Z19">
        <v>27</v>
      </c>
      <c r="AA19" t="s">
        <v>987</v>
      </c>
      <c r="AC19" t="s">
        <v>1308</v>
      </c>
      <c r="AD19" t="s">
        <v>1308</v>
      </c>
      <c r="AE19" t="s">
        <v>1309</v>
      </c>
      <c r="AF19" t="s">
        <v>948</v>
      </c>
      <c r="AJ19" t="s">
        <v>740</v>
      </c>
      <c r="AK19" t="s">
        <v>741</v>
      </c>
      <c r="AL19" t="s">
        <v>686</v>
      </c>
      <c r="AM19" t="s">
        <v>687</v>
      </c>
      <c r="AN19" t="s">
        <v>687</v>
      </c>
      <c r="BC19" t="s">
        <v>1010</v>
      </c>
      <c r="BD19" t="s">
        <v>715</v>
      </c>
      <c r="BE19">
        <v>40862.384016203701</v>
      </c>
      <c r="BF19" t="s">
        <v>923</v>
      </c>
      <c r="BG19">
        <v>39792.715879629628</v>
      </c>
    </row>
    <row r="20" spans="1:59" ht="16" customHeight="1" x14ac:dyDescent="0.2">
      <c r="A20">
        <v>106</v>
      </c>
      <c r="C20" t="s">
        <v>1386</v>
      </c>
      <c r="D20" t="s">
        <v>549</v>
      </c>
      <c r="E20" t="str">
        <f t="shared" si="0"/>
        <v>z0076697</v>
      </c>
      <c r="F20" t="s">
        <v>648</v>
      </c>
      <c r="G20" s="6" t="s">
        <v>1387</v>
      </c>
      <c r="H20" t="s">
        <v>741</v>
      </c>
      <c r="I20" t="s">
        <v>1155</v>
      </c>
      <c r="J20" t="s">
        <v>1162</v>
      </c>
      <c r="K20">
        <v>45048</v>
      </c>
      <c r="L20" t="s">
        <v>680</v>
      </c>
      <c r="N20">
        <v>32445</v>
      </c>
      <c r="O20">
        <v>76697</v>
      </c>
      <c r="V20" t="s">
        <v>993</v>
      </c>
      <c r="W20" s="1">
        <v>39286</v>
      </c>
      <c r="X20">
        <v>2007</v>
      </c>
      <c r="Y20">
        <v>7</v>
      </c>
      <c r="Z20">
        <v>23</v>
      </c>
      <c r="AA20" t="s">
        <v>987</v>
      </c>
      <c r="AC20" t="s">
        <v>1308</v>
      </c>
      <c r="AD20" t="s">
        <v>1308</v>
      </c>
      <c r="AE20" t="s">
        <v>1309</v>
      </c>
      <c r="AF20" t="s">
        <v>948</v>
      </c>
      <c r="AJ20" t="s">
        <v>740</v>
      </c>
      <c r="AK20" t="s">
        <v>741</v>
      </c>
      <c r="AL20" t="s">
        <v>686</v>
      </c>
      <c r="AM20" t="s">
        <v>687</v>
      </c>
      <c r="AN20" t="s">
        <v>687</v>
      </c>
      <c r="BC20" t="s">
        <v>994</v>
      </c>
      <c r="BD20" t="s">
        <v>715</v>
      </c>
      <c r="BE20">
        <v>40862.384016203701</v>
      </c>
      <c r="BF20" t="s">
        <v>923</v>
      </c>
      <c r="BG20">
        <v>39792.715879629628</v>
      </c>
    </row>
    <row r="21" spans="1:59" ht="16" customHeight="1" x14ac:dyDescent="0.2">
      <c r="A21">
        <v>107</v>
      </c>
      <c r="C21" t="s">
        <v>1388</v>
      </c>
      <c r="D21" t="s">
        <v>551</v>
      </c>
      <c r="E21" t="str">
        <f t="shared" si="0"/>
        <v>z0076699</v>
      </c>
      <c r="F21" t="s">
        <v>648</v>
      </c>
      <c r="G21" s="6" t="s">
        <v>1389</v>
      </c>
      <c r="H21" t="s">
        <v>741</v>
      </c>
      <c r="I21" t="s">
        <v>1155</v>
      </c>
      <c r="J21" t="s">
        <v>1162</v>
      </c>
      <c r="K21">
        <v>45050</v>
      </c>
      <c r="L21" t="s">
        <v>680</v>
      </c>
      <c r="N21">
        <v>23733</v>
      </c>
      <c r="O21">
        <v>76699</v>
      </c>
      <c r="V21" t="s">
        <v>995</v>
      </c>
      <c r="W21" s="1">
        <v>39286</v>
      </c>
      <c r="X21">
        <v>2007</v>
      </c>
      <c r="Y21">
        <v>7</v>
      </c>
      <c r="Z21">
        <v>23</v>
      </c>
      <c r="AA21" t="s">
        <v>987</v>
      </c>
      <c r="AC21" t="s">
        <v>1308</v>
      </c>
      <c r="AD21" t="s">
        <v>1308</v>
      </c>
      <c r="AE21" t="s">
        <v>1309</v>
      </c>
      <c r="AF21" t="s">
        <v>948</v>
      </c>
      <c r="AJ21" t="s">
        <v>740</v>
      </c>
      <c r="AK21" t="s">
        <v>741</v>
      </c>
      <c r="AL21" t="s">
        <v>686</v>
      </c>
      <c r="AM21" t="s">
        <v>687</v>
      </c>
      <c r="AN21" t="s">
        <v>687</v>
      </c>
      <c r="BC21" t="s">
        <v>996</v>
      </c>
      <c r="BD21" t="s">
        <v>715</v>
      </c>
      <c r="BE21">
        <v>40862.384016203701</v>
      </c>
      <c r="BF21" t="s">
        <v>923</v>
      </c>
      <c r="BG21">
        <v>39792.715879629628</v>
      </c>
    </row>
    <row r="22" spans="1:59" ht="16" customHeight="1" x14ac:dyDescent="0.2">
      <c r="A22">
        <v>108</v>
      </c>
      <c r="C22" t="s">
        <v>1390</v>
      </c>
      <c r="D22" t="s">
        <v>552</v>
      </c>
      <c r="E22" t="str">
        <f t="shared" si="0"/>
        <v>z0076701</v>
      </c>
      <c r="F22" t="s">
        <v>648</v>
      </c>
      <c r="G22" s="6" t="s">
        <v>1391</v>
      </c>
      <c r="H22" t="s">
        <v>741</v>
      </c>
      <c r="I22" t="s">
        <v>1155</v>
      </c>
      <c r="J22" t="s">
        <v>1162</v>
      </c>
      <c r="K22">
        <v>45052</v>
      </c>
      <c r="L22" t="s">
        <v>680</v>
      </c>
      <c r="N22">
        <v>32449</v>
      </c>
      <c r="O22">
        <v>76701</v>
      </c>
      <c r="V22" t="s">
        <v>997</v>
      </c>
      <c r="W22" s="1">
        <v>39286</v>
      </c>
      <c r="X22">
        <v>2007</v>
      </c>
      <c r="Y22">
        <v>7</v>
      </c>
      <c r="Z22">
        <v>23</v>
      </c>
      <c r="AA22" t="s">
        <v>987</v>
      </c>
      <c r="AC22" t="s">
        <v>1308</v>
      </c>
      <c r="AD22" t="s">
        <v>1308</v>
      </c>
      <c r="AE22" t="s">
        <v>1309</v>
      </c>
      <c r="AF22" t="s">
        <v>948</v>
      </c>
      <c r="AJ22" t="s">
        <v>740</v>
      </c>
      <c r="AK22" t="s">
        <v>741</v>
      </c>
      <c r="AL22" t="s">
        <v>686</v>
      </c>
      <c r="AM22" t="s">
        <v>687</v>
      </c>
      <c r="AN22" t="s">
        <v>687</v>
      </c>
      <c r="BC22" t="s">
        <v>998</v>
      </c>
      <c r="BD22" t="s">
        <v>715</v>
      </c>
      <c r="BE22">
        <v>40862.384016203701</v>
      </c>
      <c r="BF22" t="s">
        <v>923</v>
      </c>
      <c r="BG22">
        <v>39792.715879629628</v>
      </c>
    </row>
    <row r="23" spans="1:59" ht="16" customHeight="1" x14ac:dyDescent="0.2">
      <c r="A23">
        <v>109</v>
      </c>
      <c r="C23" t="s">
        <v>1392</v>
      </c>
      <c r="D23" t="s">
        <v>553</v>
      </c>
      <c r="E23" t="str">
        <f t="shared" si="0"/>
        <v>z0076703</v>
      </c>
      <c r="F23" t="s">
        <v>648</v>
      </c>
      <c r="G23" s="6" t="s">
        <v>1393</v>
      </c>
      <c r="H23" t="s">
        <v>741</v>
      </c>
      <c r="I23" t="s">
        <v>1155</v>
      </c>
      <c r="J23" t="s">
        <v>1162</v>
      </c>
      <c r="K23">
        <v>45054</v>
      </c>
      <c r="L23" t="s">
        <v>680</v>
      </c>
      <c r="N23">
        <v>32451</v>
      </c>
      <c r="O23">
        <v>76703</v>
      </c>
      <c r="V23" t="s">
        <v>986</v>
      </c>
      <c r="W23" s="1">
        <v>39285</v>
      </c>
      <c r="X23">
        <v>2007</v>
      </c>
      <c r="Y23">
        <v>7</v>
      </c>
      <c r="Z23">
        <v>22</v>
      </c>
      <c r="AA23" t="s">
        <v>987</v>
      </c>
      <c r="AC23" t="s">
        <v>1308</v>
      </c>
      <c r="AD23" t="s">
        <v>1308</v>
      </c>
      <c r="AE23" t="s">
        <v>1309</v>
      </c>
      <c r="AF23" t="s">
        <v>948</v>
      </c>
      <c r="AJ23" t="s">
        <v>740</v>
      </c>
      <c r="AK23" t="s">
        <v>741</v>
      </c>
      <c r="AL23" t="s">
        <v>686</v>
      </c>
      <c r="AM23" t="s">
        <v>687</v>
      </c>
      <c r="AN23" t="s">
        <v>687</v>
      </c>
      <c r="BC23" t="s">
        <v>988</v>
      </c>
      <c r="BD23" t="s">
        <v>715</v>
      </c>
      <c r="BE23">
        <v>40862.384016203701</v>
      </c>
      <c r="BF23" t="s">
        <v>923</v>
      </c>
      <c r="BG23">
        <v>39792.715879629628</v>
      </c>
    </row>
    <row r="24" spans="1:59" ht="16" customHeight="1" x14ac:dyDescent="0.2">
      <c r="A24">
        <v>110</v>
      </c>
      <c r="C24" t="s">
        <v>1394</v>
      </c>
      <c r="D24" t="s">
        <v>554</v>
      </c>
      <c r="E24" t="str">
        <f t="shared" si="0"/>
        <v>z0076705</v>
      </c>
      <c r="F24" t="s">
        <v>648</v>
      </c>
      <c r="G24" s="6" t="s">
        <v>1395</v>
      </c>
      <c r="H24" t="s">
        <v>741</v>
      </c>
      <c r="I24" t="s">
        <v>1155</v>
      </c>
      <c r="J24" t="s">
        <v>1162</v>
      </c>
      <c r="K24">
        <v>45056</v>
      </c>
      <c r="L24" t="s">
        <v>680</v>
      </c>
      <c r="N24">
        <v>32453</v>
      </c>
      <c r="O24">
        <v>76705</v>
      </c>
      <c r="V24" t="s">
        <v>989</v>
      </c>
      <c r="W24" s="1">
        <v>39285</v>
      </c>
      <c r="X24">
        <v>2007</v>
      </c>
      <c r="Y24">
        <v>7</v>
      </c>
      <c r="Z24">
        <v>22</v>
      </c>
      <c r="AA24" t="s">
        <v>987</v>
      </c>
      <c r="AC24" t="s">
        <v>1308</v>
      </c>
      <c r="AD24" t="s">
        <v>1308</v>
      </c>
      <c r="AE24" t="s">
        <v>1309</v>
      </c>
      <c r="AF24" t="s">
        <v>948</v>
      </c>
      <c r="AJ24" t="s">
        <v>740</v>
      </c>
      <c r="AK24" t="s">
        <v>741</v>
      </c>
      <c r="AL24" t="s">
        <v>686</v>
      </c>
      <c r="AM24" t="s">
        <v>687</v>
      </c>
      <c r="AN24" t="s">
        <v>687</v>
      </c>
      <c r="BC24" t="s">
        <v>990</v>
      </c>
      <c r="BD24" t="s">
        <v>715</v>
      </c>
      <c r="BE24">
        <v>40862.384016203701</v>
      </c>
      <c r="BF24" t="s">
        <v>923</v>
      </c>
      <c r="BG24">
        <v>39792.715879629628</v>
      </c>
    </row>
    <row r="25" spans="1:59" ht="16" customHeight="1" x14ac:dyDescent="0.2">
      <c r="A25">
        <v>111</v>
      </c>
      <c r="C25" t="s">
        <v>1396</v>
      </c>
      <c r="D25" t="s">
        <v>555</v>
      </c>
      <c r="E25" t="str">
        <f t="shared" si="0"/>
        <v>z0076707</v>
      </c>
      <c r="F25" t="s">
        <v>648</v>
      </c>
      <c r="G25" s="6" t="s">
        <v>1397</v>
      </c>
      <c r="H25" t="s">
        <v>741</v>
      </c>
      <c r="I25" t="s">
        <v>1155</v>
      </c>
      <c r="J25" t="s">
        <v>1162</v>
      </c>
      <c r="K25">
        <v>45058</v>
      </c>
      <c r="L25" t="s">
        <v>680</v>
      </c>
      <c r="N25">
        <v>23727</v>
      </c>
      <c r="O25">
        <v>76707</v>
      </c>
      <c r="V25" t="s">
        <v>991</v>
      </c>
      <c r="W25" s="1">
        <v>39285</v>
      </c>
      <c r="X25">
        <v>2007</v>
      </c>
      <c r="Y25">
        <v>7</v>
      </c>
      <c r="Z25">
        <v>22</v>
      </c>
      <c r="AA25" t="s">
        <v>987</v>
      </c>
      <c r="AC25" t="s">
        <v>1308</v>
      </c>
      <c r="AD25" t="s">
        <v>1308</v>
      </c>
      <c r="AE25" t="s">
        <v>1309</v>
      </c>
      <c r="AF25" t="s">
        <v>948</v>
      </c>
      <c r="AJ25" t="s">
        <v>740</v>
      </c>
      <c r="AK25" t="s">
        <v>741</v>
      </c>
      <c r="AL25" t="s">
        <v>686</v>
      </c>
      <c r="AM25" t="s">
        <v>687</v>
      </c>
      <c r="AN25" t="s">
        <v>687</v>
      </c>
      <c r="BC25" t="s">
        <v>992</v>
      </c>
      <c r="BD25" t="s">
        <v>715</v>
      </c>
      <c r="BE25">
        <v>40862.384016203701</v>
      </c>
      <c r="BF25" t="s">
        <v>923</v>
      </c>
      <c r="BG25">
        <v>39792.715879629628</v>
      </c>
    </row>
    <row r="26" spans="1:59" ht="16" customHeight="1" x14ac:dyDescent="0.2">
      <c r="A26">
        <v>112</v>
      </c>
      <c r="C26" t="s">
        <v>1398</v>
      </c>
      <c r="D26" t="s">
        <v>556</v>
      </c>
      <c r="E26" t="str">
        <f t="shared" si="0"/>
        <v>z0076709</v>
      </c>
      <c r="F26" t="s">
        <v>648</v>
      </c>
      <c r="G26" s="6" t="s">
        <v>1399</v>
      </c>
      <c r="H26" t="s">
        <v>741</v>
      </c>
      <c r="I26" t="s">
        <v>1155</v>
      </c>
      <c r="J26" t="s">
        <v>1162</v>
      </c>
      <c r="K26">
        <v>45060</v>
      </c>
      <c r="L26" t="s">
        <v>680</v>
      </c>
      <c r="N26">
        <v>32457</v>
      </c>
      <c r="O26">
        <v>76709</v>
      </c>
      <c r="V26" t="s">
        <v>999</v>
      </c>
      <c r="W26" s="1">
        <v>39289</v>
      </c>
      <c r="X26">
        <v>2007</v>
      </c>
      <c r="Y26">
        <v>7</v>
      </c>
      <c r="Z26">
        <v>26</v>
      </c>
      <c r="AA26" t="s">
        <v>987</v>
      </c>
      <c r="AC26" t="s">
        <v>1308</v>
      </c>
      <c r="AD26" t="s">
        <v>1308</v>
      </c>
      <c r="AE26" t="s">
        <v>1309</v>
      </c>
      <c r="AF26" t="s">
        <v>948</v>
      </c>
      <c r="AJ26" t="s">
        <v>740</v>
      </c>
      <c r="AK26" t="s">
        <v>741</v>
      </c>
      <c r="AL26" t="s">
        <v>686</v>
      </c>
      <c r="AM26" t="s">
        <v>687</v>
      </c>
      <c r="AN26" t="s">
        <v>687</v>
      </c>
      <c r="BC26" t="s">
        <v>1000</v>
      </c>
      <c r="BD26" t="s">
        <v>715</v>
      </c>
      <c r="BE26">
        <v>40862.384016203701</v>
      </c>
      <c r="BF26" t="s">
        <v>923</v>
      </c>
      <c r="BG26">
        <v>39792.715879629628</v>
      </c>
    </row>
    <row r="27" spans="1:59" ht="16" customHeight="1" x14ac:dyDescent="0.2">
      <c r="A27">
        <v>113</v>
      </c>
      <c r="C27" t="s">
        <v>1400</v>
      </c>
      <c r="D27" t="s">
        <v>557</v>
      </c>
      <c r="E27" t="str">
        <f t="shared" si="0"/>
        <v>z0076711</v>
      </c>
      <c r="F27" t="s">
        <v>648</v>
      </c>
      <c r="G27" s="6" t="s">
        <v>1401</v>
      </c>
      <c r="H27" t="s">
        <v>741</v>
      </c>
      <c r="I27" t="s">
        <v>1155</v>
      </c>
      <c r="J27" t="s">
        <v>1162</v>
      </c>
      <c r="K27">
        <v>45062</v>
      </c>
      <c r="L27" t="s">
        <v>680</v>
      </c>
      <c r="N27">
        <v>32459</v>
      </c>
      <c r="O27">
        <v>76711</v>
      </c>
      <c r="V27" t="s">
        <v>1001</v>
      </c>
      <c r="W27" s="1">
        <v>39289</v>
      </c>
      <c r="X27">
        <v>2007</v>
      </c>
      <c r="Y27">
        <v>7</v>
      </c>
      <c r="Z27">
        <v>26</v>
      </c>
      <c r="AA27" t="s">
        <v>987</v>
      </c>
      <c r="AC27" t="s">
        <v>1308</v>
      </c>
      <c r="AD27" t="s">
        <v>1308</v>
      </c>
      <c r="AE27" t="s">
        <v>1309</v>
      </c>
      <c r="AF27" t="s">
        <v>948</v>
      </c>
      <c r="AJ27" t="s">
        <v>740</v>
      </c>
      <c r="AK27" t="s">
        <v>741</v>
      </c>
      <c r="AL27" t="s">
        <v>686</v>
      </c>
      <c r="AM27" t="s">
        <v>687</v>
      </c>
      <c r="AN27" t="s">
        <v>687</v>
      </c>
      <c r="BC27" t="s">
        <v>1002</v>
      </c>
      <c r="BD27" t="s">
        <v>715</v>
      </c>
      <c r="BE27">
        <v>40862.384016203701</v>
      </c>
      <c r="BF27" t="s">
        <v>923</v>
      </c>
      <c r="BG27">
        <v>39792.715879629628</v>
      </c>
    </row>
    <row r="28" spans="1:59" ht="16" customHeight="1" x14ac:dyDescent="0.2">
      <c r="A28">
        <v>114</v>
      </c>
      <c r="C28" t="s">
        <v>1402</v>
      </c>
      <c r="D28" t="s">
        <v>558</v>
      </c>
      <c r="E28" t="str">
        <f t="shared" si="0"/>
        <v>z0076713</v>
      </c>
      <c r="F28" t="s">
        <v>648</v>
      </c>
      <c r="G28" s="6" t="s">
        <v>1403</v>
      </c>
      <c r="H28" t="s">
        <v>741</v>
      </c>
      <c r="I28" t="s">
        <v>1155</v>
      </c>
      <c r="J28" t="s">
        <v>1162</v>
      </c>
      <c r="K28">
        <v>45064</v>
      </c>
      <c r="L28" t="s">
        <v>680</v>
      </c>
      <c r="N28">
        <v>32461</v>
      </c>
      <c r="O28">
        <v>76713</v>
      </c>
      <c r="V28" t="s">
        <v>1003</v>
      </c>
      <c r="W28" s="1">
        <v>39289</v>
      </c>
      <c r="X28">
        <v>2007</v>
      </c>
      <c r="Y28">
        <v>7</v>
      </c>
      <c r="Z28">
        <v>26</v>
      </c>
      <c r="AA28" t="s">
        <v>987</v>
      </c>
      <c r="AC28" t="s">
        <v>1308</v>
      </c>
      <c r="AD28" t="s">
        <v>1308</v>
      </c>
      <c r="AE28" t="s">
        <v>1309</v>
      </c>
      <c r="AF28" t="s">
        <v>948</v>
      </c>
      <c r="AJ28" t="s">
        <v>740</v>
      </c>
      <c r="AK28" t="s">
        <v>741</v>
      </c>
      <c r="AL28" t="s">
        <v>686</v>
      </c>
      <c r="AM28" t="s">
        <v>687</v>
      </c>
      <c r="AN28" t="s">
        <v>687</v>
      </c>
      <c r="BC28" t="s">
        <v>1004</v>
      </c>
      <c r="BD28" t="s">
        <v>715</v>
      </c>
      <c r="BE28">
        <v>40862.384016203701</v>
      </c>
      <c r="BF28" t="s">
        <v>923</v>
      </c>
      <c r="BG28">
        <v>39792.715879629628</v>
      </c>
    </row>
    <row r="29" spans="1:59" ht="16" customHeight="1" x14ac:dyDescent="0.2">
      <c r="A29">
        <v>115</v>
      </c>
      <c r="C29" t="s">
        <v>1404</v>
      </c>
      <c r="D29" t="s">
        <v>559</v>
      </c>
      <c r="E29" t="str">
        <f t="shared" si="0"/>
        <v>z0076715</v>
      </c>
      <c r="F29" t="s">
        <v>648</v>
      </c>
      <c r="G29" s="6" t="s">
        <v>1405</v>
      </c>
      <c r="H29" t="s">
        <v>741</v>
      </c>
      <c r="I29" t="s">
        <v>1155</v>
      </c>
      <c r="J29" t="s">
        <v>1162</v>
      </c>
      <c r="K29">
        <v>45066</v>
      </c>
      <c r="L29" t="s">
        <v>680</v>
      </c>
      <c r="N29">
        <v>32463</v>
      </c>
      <c r="O29">
        <v>76715</v>
      </c>
      <c r="V29" t="s">
        <v>1005</v>
      </c>
      <c r="W29" s="1">
        <v>39289</v>
      </c>
      <c r="X29">
        <v>2007</v>
      </c>
      <c r="Y29">
        <v>7</v>
      </c>
      <c r="Z29">
        <v>26</v>
      </c>
      <c r="AA29" t="s">
        <v>987</v>
      </c>
      <c r="AC29" t="s">
        <v>1308</v>
      </c>
      <c r="AD29" t="s">
        <v>1308</v>
      </c>
      <c r="AE29" t="s">
        <v>1309</v>
      </c>
      <c r="AF29" t="s">
        <v>948</v>
      </c>
      <c r="AJ29" t="s">
        <v>740</v>
      </c>
      <c r="AK29" t="s">
        <v>741</v>
      </c>
      <c r="AL29" t="s">
        <v>686</v>
      </c>
      <c r="AM29" t="s">
        <v>687</v>
      </c>
      <c r="AN29" t="s">
        <v>687</v>
      </c>
      <c r="BC29" t="s">
        <v>1006</v>
      </c>
      <c r="BD29" t="s">
        <v>715</v>
      </c>
      <c r="BE29">
        <v>40862.384016203701</v>
      </c>
      <c r="BF29" t="s">
        <v>923</v>
      </c>
      <c r="BG29">
        <v>39792.715879629628</v>
      </c>
    </row>
    <row r="30" spans="1:59" ht="16" customHeight="1" x14ac:dyDescent="0.2">
      <c r="A30">
        <v>206</v>
      </c>
      <c r="C30" t="s">
        <v>1592</v>
      </c>
      <c r="D30" t="s">
        <v>429</v>
      </c>
      <c r="E30" t="str">
        <f t="shared" si="0"/>
        <v>z0037419</v>
      </c>
      <c r="F30" t="s">
        <v>648</v>
      </c>
      <c r="G30" s="6" t="s">
        <v>1593</v>
      </c>
      <c r="H30" t="s">
        <v>741</v>
      </c>
      <c r="I30" t="s">
        <v>1155</v>
      </c>
      <c r="J30" t="s">
        <v>1162</v>
      </c>
      <c r="K30">
        <v>20955</v>
      </c>
      <c r="L30" t="s">
        <v>680</v>
      </c>
      <c r="N30">
        <v>10815</v>
      </c>
      <c r="O30">
        <v>37419</v>
      </c>
      <c r="V30" t="s">
        <v>952</v>
      </c>
      <c r="W30" s="1">
        <v>37826</v>
      </c>
      <c r="X30">
        <v>2003</v>
      </c>
      <c r="Y30">
        <v>7</v>
      </c>
      <c r="Z30">
        <v>24</v>
      </c>
      <c r="AA30" t="s">
        <v>936</v>
      </c>
      <c r="AC30" t="s">
        <v>1308</v>
      </c>
      <c r="AD30" t="s">
        <v>1308</v>
      </c>
      <c r="AE30" t="s">
        <v>1309</v>
      </c>
      <c r="AF30" t="s">
        <v>948</v>
      </c>
      <c r="AJ30" t="s">
        <v>740</v>
      </c>
      <c r="AK30" t="s">
        <v>741</v>
      </c>
      <c r="AL30" t="s">
        <v>686</v>
      </c>
      <c r="AM30" t="s">
        <v>687</v>
      </c>
      <c r="AN30" t="s">
        <v>687</v>
      </c>
      <c r="AR30" t="s">
        <v>949</v>
      </c>
      <c r="AS30" t="s">
        <v>950</v>
      </c>
      <c r="AT30">
        <v>62.25</v>
      </c>
      <c r="BD30" t="s">
        <v>928</v>
      </c>
      <c r="BE30">
        <v>40862.384016203701</v>
      </c>
      <c r="BF30" t="s">
        <v>923</v>
      </c>
    </row>
    <row r="31" spans="1:59" ht="16" customHeight="1" x14ac:dyDescent="0.2">
      <c r="A31">
        <v>209</v>
      </c>
      <c r="C31" t="s">
        <v>1598</v>
      </c>
      <c r="D31" t="s">
        <v>458</v>
      </c>
      <c r="E31" t="str">
        <f t="shared" si="0"/>
        <v>z0062622</v>
      </c>
      <c r="F31" t="s">
        <v>648</v>
      </c>
      <c r="G31" s="6" t="s">
        <v>1599</v>
      </c>
      <c r="H31" t="s">
        <v>741</v>
      </c>
      <c r="I31" t="s">
        <v>1155</v>
      </c>
      <c r="J31" t="s">
        <v>1162</v>
      </c>
      <c r="K31">
        <v>35599</v>
      </c>
      <c r="L31" t="s">
        <v>680</v>
      </c>
      <c r="N31">
        <v>23679</v>
      </c>
      <c r="O31">
        <v>62622</v>
      </c>
      <c r="V31" t="s">
        <v>968</v>
      </c>
      <c r="W31" s="1">
        <v>38573</v>
      </c>
      <c r="X31">
        <v>2005</v>
      </c>
      <c r="Y31">
        <v>8</v>
      </c>
      <c r="Z31">
        <v>9</v>
      </c>
      <c r="AA31" t="s">
        <v>738</v>
      </c>
      <c r="AC31" t="s">
        <v>1308</v>
      </c>
      <c r="AD31" t="s">
        <v>1308</v>
      </c>
      <c r="AE31" t="s">
        <v>1309</v>
      </c>
      <c r="AF31" t="s">
        <v>948</v>
      </c>
      <c r="AJ31" t="s">
        <v>740</v>
      </c>
      <c r="AK31" t="s">
        <v>741</v>
      </c>
      <c r="AL31" t="s">
        <v>686</v>
      </c>
      <c r="AM31" t="s">
        <v>687</v>
      </c>
      <c r="AN31" t="s">
        <v>687</v>
      </c>
      <c r="BD31" t="s">
        <v>715</v>
      </c>
      <c r="BE31">
        <v>40862.384016203701</v>
      </c>
      <c r="BF31" t="s">
        <v>923</v>
      </c>
    </row>
    <row r="32" spans="1:59" ht="16" customHeight="1" x14ac:dyDescent="0.2">
      <c r="A32">
        <v>210</v>
      </c>
      <c r="C32" t="s">
        <v>1600</v>
      </c>
      <c r="D32" t="s">
        <v>460</v>
      </c>
      <c r="E32" t="str">
        <f t="shared" si="0"/>
        <v>z0062627</v>
      </c>
      <c r="F32" t="s">
        <v>648</v>
      </c>
      <c r="G32" s="6" t="s">
        <v>1601</v>
      </c>
      <c r="H32" t="s">
        <v>741</v>
      </c>
      <c r="I32" t="s">
        <v>1155</v>
      </c>
      <c r="J32" t="s">
        <v>1162</v>
      </c>
      <c r="K32">
        <v>35604</v>
      </c>
      <c r="L32" t="s">
        <v>680</v>
      </c>
      <c r="N32">
        <v>23684</v>
      </c>
      <c r="O32">
        <v>62627</v>
      </c>
      <c r="V32" t="s">
        <v>976</v>
      </c>
      <c r="W32" s="1">
        <v>38861</v>
      </c>
      <c r="X32">
        <v>2006</v>
      </c>
      <c r="Y32">
        <v>5</v>
      </c>
      <c r="Z32">
        <v>24</v>
      </c>
      <c r="AA32" t="s">
        <v>738</v>
      </c>
      <c r="AC32" t="s">
        <v>1308</v>
      </c>
      <c r="AD32" t="s">
        <v>1308</v>
      </c>
      <c r="AE32" t="s">
        <v>1309</v>
      </c>
      <c r="AF32" t="s">
        <v>948</v>
      </c>
      <c r="AJ32" t="s">
        <v>740</v>
      </c>
      <c r="AK32" t="s">
        <v>741</v>
      </c>
      <c r="AL32" t="s">
        <v>686</v>
      </c>
      <c r="AM32" t="s">
        <v>687</v>
      </c>
      <c r="AN32" t="s">
        <v>687</v>
      </c>
      <c r="BD32" t="s">
        <v>715</v>
      </c>
      <c r="BE32">
        <v>40862.384016203701</v>
      </c>
      <c r="BF32" t="s">
        <v>923</v>
      </c>
    </row>
    <row r="33" spans="1:59" ht="16" customHeight="1" x14ac:dyDescent="0.2">
      <c r="A33">
        <v>211</v>
      </c>
      <c r="C33" t="s">
        <v>1602</v>
      </c>
      <c r="D33" t="s">
        <v>462</v>
      </c>
      <c r="E33" t="str">
        <f t="shared" si="0"/>
        <v>z0062630</v>
      </c>
      <c r="F33" t="s">
        <v>648</v>
      </c>
      <c r="G33" s="6" t="s">
        <v>1603</v>
      </c>
      <c r="H33" t="s">
        <v>741</v>
      </c>
      <c r="I33" t="s">
        <v>1155</v>
      </c>
      <c r="J33" t="s">
        <v>1162</v>
      </c>
      <c r="K33">
        <v>35607</v>
      </c>
      <c r="L33" t="s">
        <v>680</v>
      </c>
      <c r="N33">
        <v>23687</v>
      </c>
      <c r="O33">
        <v>62630</v>
      </c>
      <c r="V33" t="s">
        <v>1132</v>
      </c>
      <c r="W33" s="1" t="s">
        <v>1133</v>
      </c>
      <c r="X33">
        <v>2005</v>
      </c>
      <c r="AA33" t="s">
        <v>738</v>
      </c>
      <c r="AC33" t="s">
        <v>1308</v>
      </c>
      <c r="AD33" t="s">
        <v>1308</v>
      </c>
      <c r="AE33" t="s">
        <v>1309</v>
      </c>
      <c r="AF33" t="s">
        <v>948</v>
      </c>
      <c r="AJ33" t="s">
        <v>740</v>
      </c>
      <c r="AK33" t="s">
        <v>741</v>
      </c>
      <c r="AL33" t="s">
        <v>686</v>
      </c>
      <c r="AM33" t="s">
        <v>687</v>
      </c>
      <c r="AN33" t="s">
        <v>687</v>
      </c>
      <c r="BD33" t="s">
        <v>715</v>
      </c>
      <c r="BE33">
        <v>40862.384016203701</v>
      </c>
      <c r="BF33" t="s">
        <v>923</v>
      </c>
    </row>
    <row r="34" spans="1:59" ht="16" customHeight="1" x14ac:dyDescent="0.2">
      <c r="A34">
        <v>212</v>
      </c>
      <c r="C34" t="s">
        <v>1604</v>
      </c>
      <c r="D34" t="s">
        <v>465</v>
      </c>
      <c r="E34" t="str">
        <f t="shared" si="0"/>
        <v>z0062634</v>
      </c>
      <c r="F34" t="s">
        <v>648</v>
      </c>
      <c r="G34" s="6" t="s">
        <v>1605</v>
      </c>
      <c r="H34" t="s">
        <v>741</v>
      </c>
      <c r="I34" t="s">
        <v>1155</v>
      </c>
      <c r="J34" t="s">
        <v>1162</v>
      </c>
      <c r="K34">
        <v>35611</v>
      </c>
      <c r="L34" t="s">
        <v>680</v>
      </c>
      <c r="N34">
        <v>23691</v>
      </c>
      <c r="O34">
        <v>62634</v>
      </c>
      <c r="V34" t="s">
        <v>977</v>
      </c>
      <c r="W34" s="1">
        <v>38923</v>
      </c>
      <c r="X34">
        <v>2006</v>
      </c>
      <c r="Y34">
        <v>7</v>
      </c>
      <c r="Z34">
        <v>25</v>
      </c>
      <c r="AA34" t="s">
        <v>738</v>
      </c>
      <c r="AC34" t="s">
        <v>1308</v>
      </c>
      <c r="AD34" t="s">
        <v>1308</v>
      </c>
      <c r="AE34" t="s">
        <v>1309</v>
      </c>
      <c r="AF34" t="s">
        <v>948</v>
      </c>
      <c r="AJ34" t="s">
        <v>740</v>
      </c>
      <c r="AK34" t="s">
        <v>741</v>
      </c>
      <c r="AL34" t="s">
        <v>686</v>
      </c>
      <c r="AM34" t="s">
        <v>687</v>
      </c>
      <c r="AN34" t="s">
        <v>687</v>
      </c>
      <c r="BD34" t="s">
        <v>715</v>
      </c>
      <c r="BE34">
        <v>40862.384016203701</v>
      </c>
      <c r="BF34" t="s">
        <v>923</v>
      </c>
    </row>
    <row r="35" spans="1:59" ht="16" customHeight="1" x14ac:dyDescent="0.2">
      <c r="A35">
        <v>213</v>
      </c>
      <c r="C35" t="s">
        <v>1606</v>
      </c>
      <c r="D35" t="s">
        <v>467</v>
      </c>
      <c r="E35" t="str">
        <f t="shared" si="0"/>
        <v>z0062636</v>
      </c>
      <c r="F35" t="s">
        <v>648</v>
      </c>
      <c r="G35" s="6" t="s">
        <v>1607</v>
      </c>
      <c r="H35" t="s">
        <v>741</v>
      </c>
      <c r="I35" t="s">
        <v>1155</v>
      </c>
      <c r="J35" t="s">
        <v>1162</v>
      </c>
      <c r="K35">
        <v>35613</v>
      </c>
      <c r="L35" t="s">
        <v>680</v>
      </c>
      <c r="N35">
        <v>23693</v>
      </c>
      <c r="O35">
        <v>62636</v>
      </c>
      <c r="V35" t="s">
        <v>967</v>
      </c>
      <c r="W35" s="1">
        <v>38563</v>
      </c>
      <c r="X35">
        <v>2005</v>
      </c>
      <c r="Y35">
        <v>7</v>
      </c>
      <c r="Z35">
        <v>30</v>
      </c>
      <c r="AA35" t="s">
        <v>738</v>
      </c>
      <c r="AC35" t="s">
        <v>1308</v>
      </c>
      <c r="AD35" t="s">
        <v>1308</v>
      </c>
      <c r="AE35" t="s">
        <v>1309</v>
      </c>
      <c r="AF35" t="s">
        <v>948</v>
      </c>
      <c r="AJ35" t="s">
        <v>740</v>
      </c>
      <c r="AK35" t="s">
        <v>741</v>
      </c>
      <c r="AL35" t="s">
        <v>686</v>
      </c>
      <c r="AM35" t="s">
        <v>687</v>
      </c>
      <c r="AN35" t="s">
        <v>687</v>
      </c>
      <c r="BD35" t="s">
        <v>715</v>
      </c>
      <c r="BE35">
        <v>40862.384016203701</v>
      </c>
      <c r="BF35" t="s">
        <v>923</v>
      </c>
    </row>
    <row r="36" spans="1:59" ht="16" customHeight="1" x14ac:dyDescent="0.2">
      <c r="A36">
        <v>214</v>
      </c>
      <c r="C36" t="s">
        <v>1608</v>
      </c>
      <c r="D36" t="s">
        <v>469</v>
      </c>
      <c r="E36" t="str">
        <f t="shared" si="0"/>
        <v>z0062680</v>
      </c>
      <c r="F36" t="s">
        <v>648</v>
      </c>
      <c r="G36" s="6" t="s">
        <v>1609</v>
      </c>
      <c r="H36" t="s">
        <v>741</v>
      </c>
      <c r="I36" t="s">
        <v>1155</v>
      </c>
      <c r="J36" t="s">
        <v>1162</v>
      </c>
      <c r="K36">
        <v>35657</v>
      </c>
      <c r="L36" t="s">
        <v>680</v>
      </c>
      <c r="N36">
        <v>23737</v>
      </c>
      <c r="O36">
        <v>62680</v>
      </c>
      <c r="V36" t="s">
        <v>969</v>
      </c>
      <c r="W36" s="1">
        <v>38573</v>
      </c>
      <c r="X36">
        <v>2005</v>
      </c>
      <c r="Y36">
        <v>8</v>
      </c>
      <c r="Z36">
        <v>9</v>
      </c>
      <c r="AA36" t="s">
        <v>738</v>
      </c>
      <c r="AC36" t="s">
        <v>1308</v>
      </c>
      <c r="AD36" t="s">
        <v>1308</v>
      </c>
      <c r="AE36" t="s">
        <v>1309</v>
      </c>
      <c r="AF36" t="s">
        <v>948</v>
      </c>
      <c r="AJ36" t="s">
        <v>740</v>
      </c>
      <c r="AK36" t="s">
        <v>741</v>
      </c>
      <c r="AL36" t="s">
        <v>686</v>
      </c>
      <c r="AM36" t="s">
        <v>687</v>
      </c>
      <c r="AN36" t="s">
        <v>687</v>
      </c>
      <c r="BD36" t="s">
        <v>715</v>
      </c>
      <c r="BE36">
        <v>40862.384016203701</v>
      </c>
      <c r="BF36" t="s">
        <v>923</v>
      </c>
    </row>
    <row r="37" spans="1:59" ht="16" customHeight="1" x14ac:dyDescent="0.2">
      <c r="A37">
        <v>225</v>
      </c>
      <c r="C37" t="s">
        <v>1630</v>
      </c>
      <c r="D37" t="s">
        <v>545</v>
      </c>
      <c r="E37" t="str">
        <f t="shared" si="0"/>
        <v>z0076691</v>
      </c>
      <c r="F37" t="s">
        <v>648</v>
      </c>
      <c r="G37" s="6" t="s">
        <v>1631</v>
      </c>
      <c r="H37" t="s">
        <v>741</v>
      </c>
      <c r="I37" t="s">
        <v>1155</v>
      </c>
      <c r="J37" t="s">
        <v>1162</v>
      </c>
      <c r="K37">
        <v>45042</v>
      </c>
      <c r="L37" t="s">
        <v>680</v>
      </c>
      <c r="N37">
        <v>32439</v>
      </c>
      <c r="O37">
        <v>76691</v>
      </c>
      <c r="V37" t="s">
        <v>1011</v>
      </c>
      <c r="W37" s="1">
        <v>39292</v>
      </c>
      <c r="X37">
        <v>2007</v>
      </c>
      <c r="Y37">
        <v>7</v>
      </c>
      <c r="Z37">
        <v>29</v>
      </c>
      <c r="AA37" t="s">
        <v>987</v>
      </c>
      <c r="AC37" t="s">
        <v>1308</v>
      </c>
      <c r="AD37" t="s">
        <v>1308</v>
      </c>
      <c r="AE37" t="s">
        <v>1309</v>
      </c>
      <c r="AF37" t="s">
        <v>948</v>
      </c>
      <c r="AJ37" t="s">
        <v>740</v>
      </c>
      <c r="AK37" t="s">
        <v>741</v>
      </c>
      <c r="AL37" t="s">
        <v>686</v>
      </c>
      <c r="AM37" t="s">
        <v>687</v>
      </c>
      <c r="AN37" t="s">
        <v>687</v>
      </c>
      <c r="BC37" t="s">
        <v>1012</v>
      </c>
      <c r="BD37" t="s">
        <v>715</v>
      </c>
      <c r="BE37">
        <v>40862.384016203701</v>
      </c>
      <c r="BF37" t="s">
        <v>923</v>
      </c>
      <c r="BG37">
        <v>39792.715879629628</v>
      </c>
    </row>
    <row r="38" spans="1:59" ht="16" customHeight="1" x14ac:dyDescent="0.2">
      <c r="A38">
        <v>226</v>
      </c>
      <c r="C38" t="s">
        <v>1632</v>
      </c>
      <c r="D38" t="s">
        <v>548</v>
      </c>
      <c r="E38" t="str">
        <f t="shared" si="0"/>
        <v>z0076695</v>
      </c>
      <c r="F38" t="s">
        <v>648</v>
      </c>
      <c r="G38" s="6" t="s">
        <v>1633</v>
      </c>
      <c r="H38" t="s">
        <v>741</v>
      </c>
      <c r="I38" t="s">
        <v>1155</v>
      </c>
      <c r="J38" t="s">
        <v>1162</v>
      </c>
      <c r="K38">
        <v>45046</v>
      </c>
      <c r="L38" t="s">
        <v>680</v>
      </c>
      <c r="N38">
        <v>32443</v>
      </c>
      <c r="O38">
        <v>76695</v>
      </c>
      <c r="V38" t="s">
        <v>1009</v>
      </c>
      <c r="W38" s="1">
        <v>39290</v>
      </c>
      <c r="X38">
        <v>2007</v>
      </c>
      <c r="Y38">
        <v>7</v>
      </c>
      <c r="Z38">
        <v>27</v>
      </c>
      <c r="AA38" t="s">
        <v>987</v>
      </c>
      <c r="AC38" t="s">
        <v>1308</v>
      </c>
      <c r="AD38" t="s">
        <v>1308</v>
      </c>
      <c r="AE38" t="s">
        <v>1309</v>
      </c>
      <c r="AF38" t="s">
        <v>948</v>
      </c>
      <c r="AJ38" t="s">
        <v>740</v>
      </c>
      <c r="AK38" t="s">
        <v>741</v>
      </c>
      <c r="AL38" t="s">
        <v>686</v>
      </c>
      <c r="AM38" t="s">
        <v>687</v>
      </c>
      <c r="AN38" t="s">
        <v>687</v>
      </c>
      <c r="BC38" t="s">
        <v>1010</v>
      </c>
      <c r="BD38" t="s">
        <v>715</v>
      </c>
      <c r="BE38">
        <v>40862.384016203701</v>
      </c>
      <c r="BF38" t="s">
        <v>923</v>
      </c>
      <c r="BG38">
        <v>39792.715879629628</v>
      </c>
    </row>
    <row r="39" spans="1:59" ht="16" customHeight="1" x14ac:dyDescent="0.2">
      <c r="A39">
        <v>227</v>
      </c>
      <c r="C39" t="s">
        <v>1634</v>
      </c>
      <c r="D39" t="s">
        <v>550</v>
      </c>
      <c r="E39" t="str">
        <f t="shared" si="0"/>
        <v>z0076697</v>
      </c>
      <c r="F39" t="s">
        <v>648</v>
      </c>
      <c r="G39" s="6" t="s">
        <v>1635</v>
      </c>
      <c r="H39" t="s">
        <v>741</v>
      </c>
      <c r="I39" t="s">
        <v>1155</v>
      </c>
      <c r="J39" t="s">
        <v>1162</v>
      </c>
      <c r="K39">
        <v>45048</v>
      </c>
      <c r="L39" t="s">
        <v>680</v>
      </c>
      <c r="N39">
        <v>32445</v>
      </c>
      <c r="O39">
        <v>76697</v>
      </c>
      <c r="V39" t="s">
        <v>993</v>
      </c>
      <c r="W39" s="1">
        <v>39286</v>
      </c>
      <c r="X39">
        <v>2007</v>
      </c>
      <c r="Y39">
        <v>7</v>
      </c>
      <c r="Z39">
        <v>23</v>
      </c>
      <c r="AA39" t="s">
        <v>987</v>
      </c>
      <c r="AC39" t="s">
        <v>1308</v>
      </c>
      <c r="AD39" t="s">
        <v>1308</v>
      </c>
      <c r="AE39" t="s">
        <v>1309</v>
      </c>
      <c r="AF39" t="s">
        <v>948</v>
      </c>
      <c r="AJ39" t="s">
        <v>740</v>
      </c>
      <c r="AK39" t="s">
        <v>741</v>
      </c>
      <c r="AL39" t="s">
        <v>686</v>
      </c>
      <c r="AM39" t="s">
        <v>687</v>
      </c>
      <c r="AN39" t="s">
        <v>687</v>
      </c>
      <c r="BC39" t="s">
        <v>994</v>
      </c>
      <c r="BD39" t="s">
        <v>715</v>
      </c>
      <c r="BE39">
        <v>40862.384016203701</v>
      </c>
      <c r="BF39" t="s">
        <v>923</v>
      </c>
      <c r="BG39">
        <v>39792.715879629628</v>
      </c>
    </row>
    <row r="40" spans="1:59" ht="16" customHeight="1" x14ac:dyDescent="0.2">
      <c r="A40">
        <v>135</v>
      </c>
      <c r="C40" t="s">
        <v>1447</v>
      </c>
      <c r="D40" t="s">
        <v>586</v>
      </c>
      <c r="E40" t="str">
        <f t="shared" si="0"/>
        <v>z0134098</v>
      </c>
      <c r="F40" t="s">
        <v>648</v>
      </c>
      <c r="G40" s="6" t="s">
        <v>1448</v>
      </c>
      <c r="H40" t="s">
        <v>741</v>
      </c>
      <c r="I40" t="s">
        <v>1155</v>
      </c>
      <c r="J40" t="s">
        <v>1156</v>
      </c>
      <c r="K40">
        <v>76316</v>
      </c>
      <c r="L40" t="s">
        <v>680</v>
      </c>
      <c r="N40">
        <v>106673</v>
      </c>
      <c r="O40">
        <v>134098</v>
      </c>
      <c r="V40" t="s">
        <v>1038</v>
      </c>
      <c r="W40" s="1">
        <v>40766</v>
      </c>
      <c r="X40">
        <v>2011</v>
      </c>
      <c r="Y40">
        <v>8</v>
      </c>
      <c r="Z40">
        <v>11</v>
      </c>
      <c r="AA40" t="s">
        <v>1017</v>
      </c>
      <c r="AC40" t="s">
        <v>1308</v>
      </c>
      <c r="AD40" t="s">
        <v>1308</v>
      </c>
      <c r="AE40" t="s">
        <v>1309</v>
      </c>
      <c r="AF40" t="s">
        <v>1039</v>
      </c>
      <c r="AJ40" t="s">
        <v>740</v>
      </c>
      <c r="AK40" t="s">
        <v>741</v>
      </c>
      <c r="AL40" t="s">
        <v>686</v>
      </c>
      <c r="AM40" t="s">
        <v>687</v>
      </c>
      <c r="AN40" t="s">
        <v>687</v>
      </c>
      <c r="AQ40" t="s">
        <v>863</v>
      </c>
      <c r="AX40">
        <v>160</v>
      </c>
      <c r="AY40">
        <v>115</v>
      </c>
      <c r="BD40" t="s">
        <v>715</v>
      </c>
      <c r="BE40">
        <v>41981.501435185186</v>
      </c>
      <c r="BF40" t="s">
        <v>923</v>
      </c>
      <c r="BG40">
        <v>40879.684548611112</v>
      </c>
    </row>
    <row r="41" spans="1:59" ht="16" customHeight="1" x14ac:dyDescent="0.2">
      <c r="A41">
        <v>196</v>
      </c>
      <c r="C41" t="s">
        <v>1572</v>
      </c>
      <c r="D41" t="s">
        <v>587</v>
      </c>
      <c r="E41" t="str">
        <f t="shared" si="0"/>
        <v>z0134098</v>
      </c>
      <c r="F41" t="s">
        <v>648</v>
      </c>
      <c r="G41" s="6" t="s">
        <v>1573</v>
      </c>
      <c r="H41" t="s">
        <v>741</v>
      </c>
      <c r="I41" t="s">
        <v>1155</v>
      </c>
      <c r="J41" t="s">
        <v>1156</v>
      </c>
      <c r="K41">
        <v>76316</v>
      </c>
      <c r="L41" t="s">
        <v>680</v>
      </c>
      <c r="N41">
        <v>106673</v>
      </c>
      <c r="O41">
        <v>134098</v>
      </c>
      <c r="V41" t="s">
        <v>1038</v>
      </c>
      <c r="W41" s="1">
        <v>40766</v>
      </c>
      <c r="X41">
        <v>2011</v>
      </c>
      <c r="Y41">
        <v>8</v>
      </c>
      <c r="Z41">
        <v>11</v>
      </c>
      <c r="AA41" t="s">
        <v>1017</v>
      </c>
      <c r="AC41" t="s">
        <v>1308</v>
      </c>
      <c r="AD41" t="s">
        <v>1308</v>
      </c>
      <c r="AE41" t="s">
        <v>1309</v>
      </c>
      <c r="AF41" t="s">
        <v>1039</v>
      </c>
      <c r="AJ41" t="s">
        <v>740</v>
      </c>
      <c r="AK41" t="s">
        <v>741</v>
      </c>
      <c r="AL41" t="s">
        <v>686</v>
      </c>
      <c r="AM41" t="s">
        <v>687</v>
      </c>
      <c r="AN41" t="s">
        <v>687</v>
      </c>
      <c r="AQ41" t="s">
        <v>863</v>
      </c>
      <c r="AX41">
        <v>160</v>
      </c>
      <c r="AY41">
        <v>115</v>
      </c>
      <c r="BD41" t="s">
        <v>715</v>
      </c>
      <c r="BE41">
        <v>41981.501435185186</v>
      </c>
      <c r="BF41" t="s">
        <v>923</v>
      </c>
      <c r="BG41">
        <v>40879.684548611112</v>
      </c>
    </row>
    <row r="42" spans="1:59" ht="16" customHeight="1" x14ac:dyDescent="0.2">
      <c r="A42">
        <v>127</v>
      </c>
      <c r="C42" t="s">
        <v>1430</v>
      </c>
      <c r="D42" t="s">
        <v>576</v>
      </c>
      <c r="E42" t="str">
        <f t="shared" si="0"/>
        <v>z0134061</v>
      </c>
      <c r="F42" t="s">
        <v>648</v>
      </c>
      <c r="G42" s="6" t="s">
        <v>1431</v>
      </c>
      <c r="H42" t="s">
        <v>741</v>
      </c>
      <c r="I42" t="s">
        <v>1155</v>
      </c>
      <c r="J42" t="s">
        <v>1156</v>
      </c>
      <c r="K42">
        <v>76279</v>
      </c>
      <c r="L42" t="s">
        <v>680</v>
      </c>
      <c r="N42">
        <v>106690</v>
      </c>
      <c r="O42">
        <v>134061</v>
      </c>
      <c r="V42" t="s">
        <v>1021</v>
      </c>
      <c r="W42" s="1">
        <v>40738</v>
      </c>
      <c r="X42">
        <v>2011</v>
      </c>
      <c r="Y42">
        <v>7</v>
      </c>
      <c r="Z42">
        <v>14</v>
      </c>
      <c r="AA42" t="s">
        <v>1017</v>
      </c>
      <c r="AC42" t="s">
        <v>1308</v>
      </c>
      <c r="AD42" t="s">
        <v>1308</v>
      </c>
      <c r="AE42" t="s">
        <v>1309</v>
      </c>
      <c r="AF42" t="s">
        <v>1022</v>
      </c>
      <c r="AJ42" t="s">
        <v>740</v>
      </c>
      <c r="AK42" t="s">
        <v>741</v>
      </c>
      <c r="AL42" t="s">
        <v>686</v>
      </c>
      <c r="AM42" t="s">
        <v>687</v>
      </c>
      <c r="AN42" t="s">
        <v>687</v>
      </c>
      <c r="AQ42" t="s">
        <v>863</v>
      </c>
      <c r="AX42">
        <v>145</v>
      </c>
      <c r="AY42">
        <v>113</v>
      </c>
      <c r="BD42" t="s">
        <v>715</v>
      </c>
      <c r="BE42">
        <v>41981.501435185186</v>
      </c>
      <c r="BF42" t="s">
        <v>923</v>
      </c>
      <c r="BG42">
        <v>40879.684525462966</v>
      </c>
    </row>
    <row r="43" spans="1:59" ht="16" customHeight="1" x14ac:dyDescent="0.2">
      <c r="A43">
        <v>125</v>
      </c>
      <c r="C43" t="s">
        <v>1426</v>
      </c>
      <c r="D43" t="s">
        <v>574</v>
      </c>
      <c r="E43" t="str">
        <f t="shared" si="0"/>
        <v>z0134055</v>
      </c>
      <c r="F43" t="s">
        <v>648</v>
      </c>
      <c r="G43" s="6" t="s">
        <v>1427</v>
      </c>
      <c r="H43" t="s">
        <v>741</v>
      </c>
      <c r="I43" t="s">
        <v>1155</v>
      </c>
      <c r="J43" t="s">
        <v>1156</v>
      </c>
      <c r="K43">
        <v>76273</v>
      </c>
      <c r="L43" t="s">
        <v>680</v>
      </c>
      <c r="N43">
        <v>106684</v>
      </c>
      <c r="O43">
        <v>134055</v>
      </c>
      <c r="V43" t="s">
        <v>1016</v>
      </c>
      <c r="W43" s="1">
        <v>40735</v>
      </c>
      <c r="X43">
        <v>2011</v>
      </c>
      <c r="Y43">
        <v>7</v>
      </c>
      <c r="Z43">
        <v>11</v>
      </c>
      <c r="AA43" t="s">
        <v>1017</v>
      </c>
      <c r="AC43" t="s">
        <v>1308</v>
      </c>
      <c r="AD43" t="s">
        <v>1308</v>
      </c>
      <c r="AE43" t="s">
        <v>1309</v>
      </c>
      <c r="AF43" t="s">
        <v>1018</v>
      </c>
      <c r="AJ43" t="s">
        <v>740</v>
      </c>
      <c r="AK43" t="s">
        <v>741</v>
      </c>
      <c r="AL43" t="s">
        <v>686</v>
      </c>
      <c r="AM43" t="s">
        <v>687</v>
      </c>
      <c r="AN43" t="s">
        <v>687</v>
      </c>
      <c r="AQ43" t="s">
        <v>863</v>
      </c>
      <c r="AX43">
        <v>154.5</v>
      </c>
      <c r="AY43">
        <v>105</v>
      </c>
      <c r="BD43" t="s">
        <v>715</v>
      </c>
      <c r="BE43">
        <v>41981.501435185186</v>
      </c>
      <c r="BF43" t="s">
        <v>923</v>
      </c>
      <c r="BG43">
        <v>40879.684513888889</v>
      </c>
    </row>
    <row r="44" spans="1:59" ht="16" customHeight="1" x14ac:dyDescent="0.2">
      <c r="A44">
        <v>128</v>
      </c>
      <c r="C44" t="s">
        <v>1432</v>
      </c>
      <c r="D44" t="s">
        <v>577</v>
      </c>
      <c r="E44" t="str">
        <f t="shared" si="0"/>
        <v>z0134064</v>
      </c>
      <c r="F44" t="s">
        <v>648</v>
      </c>
      <c r="G44" s="6" t="s">
        <v>1433</v>
      </c>
      <c r="H44" t="s">
        <v>741</v>
      </c>
      <c r="I44" t="s">
        <v>1155</v>
      </c>
      <c r="J44" t="s">
        <v>1156</v>
      </c>
      <c r="K44">
        <v>76282</v>
      </c>
      <c r="L44" t="s">
        <v>680</v>
      </c>
      <c r="N44">
        <v>106693</v>
      </c>
      <c r="O44">
        <v>134064</v>
      </c>
      <c r="V44" t="s">
        <v>1023</v>
      </c>
      <c r="W44" s="1">
        <v>40739</v>
      </c>
      <c r="X44">
        <v>2011</v>
      </c>
      <c r="Y44">
        <v>7</v>
      </c>
      <c r="Z44">
        <v>15</v>
      </c>
      <c r="AA44" t="s">
        <v>1017</v>
      </c>
      <c r="AC44" t="s">
        <v>1308</v>
      </c>
      <c r="AD44" t="s">
        <v>1308</v>
      </c>
      <c r="AE44" t="s">
        <v>1309</v>
      </c>
      <c r="AF44" t="s">
        <v>1024</v>
      </c>
      <c r="AJ44" t="s">
        <v>740</v>
      </c>
      <c r="AK44" t="s">
        <v>741</v>
      </c>
      <c r="AL44" t="s">
        <v>686</v>
      </c>
      <c r="AM44" t="s">
        <v>687</v>
      </c>
      <c r="AN44" t="s">
        <v>687</v>
      </c>
      <c r="AQ44" t="s">
        <v>863</v>
      </c>
      <c r="AX44">
        <v>165</v>
      </c>
      <c r="AY44">
        <v>120</v>
      </c>
      <c r="BD44" t="s">
        <v>715</v>
      </c>
      <c r="BE44">
        <v>41981.501435185186</v>
      </c>
      <c r="BF44" t="s">
        <v>923</v>
      </c>
      <c r="BG44">
        <v>40879.684525462966</v>
      </c>
    </row>
    <row r="45" spans="1:59" ht="16" customHeight="1" x14ac:dyDescent="0.2">
      <c r="A45">
        <v>126</v>
      </c>
      <c r="C45" t="s">
        <v>1428</v>
      </c>
      <c r="D45" t="s">
        <v>575</v>
      </c>
      <c r="E45" t="str">
        <f t="shared" si="0"/>
        <v>z0134059</v>
      </c>
      <c r="F45" t="s">
        <v>648</v>
      </c>
      <c r="G45" s="6" t="s">
        <v>1429</v>
      </c>
      <c r="H45" t="s">
        <v>741</v>
      </c>
      <c r="I45" t="s">
        <v>1155</v>
      </c>
      <c r="J45" t="s">
        <v>1156</v>
      </c>
      <c r="K45">
        <v>76277</v>
      </c>
      <c r="L45" t="s">
        <v>680</v>
      </c>
      <c r="N45">
        <v>106688</v>
      </c>
      <c r="O45">
        <v>134059</v>
      </c>
      <c r="V45" t="s">
        <v>1019</v>
      </c>
      <c r="W45" s="1">
        <v>40737</v>
      </c>
      <c r="X45">
        <v>2011</v>
      </c>
      <c r="Y45">
        <v>7</v>
      </c>
      <c r="Z45">
        <v>13</v>
      </c>
      <c r="AA45" t="s">
        <v>1017</v>
      </c>
      <c r="AC45" t="s">
        <v>1308</v>
      </c>
      <c r="AD45" t="s">
        <v>1308</v>
      </c>
      <c r="AE45" t="s">
        <v>1309</v>
      </c>
      <c r="AF45" t="s">
        <v>1020</v>
      </c>
      <c r="AJ45" t="s">
        <v>740</v>
      </c>
      <c r="AK45" t="s">
        <v>741</v>
      </c>
      <c r="AL45" t="s">
        <v>686</v>
      </c>
      <c r="AM45" t="s">
        <v>687</v>
      </c>
      <c r="AN45" t="s">
        <v>687</v>
      </c>
      <c r="AQ45" t="s">
        <v>863</v>
      </c>
      <c r="AX45">
        <v>177</v>
      </c>
      <c r="AY45">
        <v>123.5</v>
      </c>
      <c r="BD45" t="s">
        <v>715</v>
      </c>
      <c r="BE45">
        <v>41981.501435185186</v>
      </c>
      <c r="BF45" t="s">
        <v>923</v>
      </c>
      <c r="BG45">
        <v>40879.684525462966</v>
      </c>
    </row>
    <row r="46" spans="1:59" ht="16" customHeight="1" x14ac:dyDescent="0.2">
      <c r="A46">
        <v>140</v>
      </c>
      <c r="C46" t="s">
        <v>1457</v>
      </c>
      <c r="D46" t="s">
        <v>593</v>
      </c>
      <c r="E46" t="str">
        <f t="shared" si="0"/>
        <v>z0134112</v>
      </c>
      <c r="F46" t="s">
        <v>648</v>
      </c>
      <c r="G46" s="6" t="s">
        <v>1458</v>
      </c>
      <c r="H46" t="s">
        <v>741</v>
      </c>
      <c r="I46" t="s">
        <v>1155</v>
      </c>
      <c r="J46" t="s">
        <v>1156</v>
      </c>
      <c r="K46">
        <v>76330</v>
      </c>
      <c r="L46" t="s">
        <v>680</v>
      </c>
      <c r="N46">
        <v>106735</v>
      </c>
      <c r="O46">
        <v>134112</v>
      </c>
      <c r="V46" t="s">
        <v>1048</v>
      </c>
      <c r="W46" s="1">
        <v>40795</v>
      </c>
      <c r="X46">
        <v>2011</v>
      </c>
      <c r="Y46">
        <v>9</v>
      </c>
      <c r="Z46">
        <v>9</v>
      </c>
      <c r="AA46" t="s">
        <v>1017</v>
      </c>
      <c r="AC46" t="s">
        <v>1308</v>
      </c>
      <c r="AD46" t="s">
        <v>1308</v>
      </c>
      <c r="AE46" t="s">
        <v>1309</v>
      </c>
      <c r="AF46" t="s">
        <v>1049</v>
      </c>
      <c r="AJ46" t="s">
        <v>740</v>
      </c>
      <c r="AK46" t="s">
        <v>741</v>
      </c>
      <c r="AL46" t="s">
        <v>686</v>
      </c>
      <c r="AM46" t="s">
        <v>687</v>
      </c>
      <c r="AN46" t="s">
        <v>687</v>
      </c>
      <c r="AQ46" t="s">
        <v>863</v>
      </c>
      <c r="AX46">
        <v>142</v>
      </c>
      <c r="AY46">
        <v>99</v>
      </c>
      <c r="BD46" t="s">
        <v>715</v>
      </c>
      <c r="BE46">
        <v>41981.501435185186</v>
      </c>
      <c r="BF46" t="s">
        <v>923</v>
      </c>
      <c r="BG46">
        <v>40879.684548611112</v>
      </c>
    </row>
    <row r="47" spans="1:59" ht="16" customHeight="1" x14ac:dyDescent="0.2">
      <c r="A47">
        <v>198</v>
      </c>
      <c r="C47" t="s">
        <v>1576</v>
      </c>
      <c r="D47" t="s">
        <v>594</v>
      </c>
      <c r="E47" t="str">
        <f t="shared" si="0"/>
        <v>z0134112</v>
      </c>
      <c r="F47" t="s">
        <v>648</v>
      </c>
      <c r="G47" s="6" t="s">
        <v>1577</v>
      </c>
      <c r="H47" t="s">
        <v>741</v>
      </c>
      <c r="I47" t="s">
        <v>1155</v>
      </c>
      <c r="J47" t="s">
        <v>1162</v>
      </c>
      <c r="K47">
        <v>76330</v>
      </c>
      <c r="L47" t="s">
        <v>680</v>
      </c>
      <c r="N47">
        <v>106735</v>
      </c>
      <c r="O47">
        <v>134112</v>
      </c>
      <c r="V47" t="s">
        <v>1048</v>
      </c>
      <c r="W47" s="1">
        <v>40795</v>
      </c>
      <c r="X47">
        <v>2011</v>
      </c>
      <c r="Y47">
        <v>9</v>
      </c>
      <c r="Z47">
        <v>9</v>
      </c>
      <c r="AA47" t="s">
        <v>1017</v>
      </c>
      <c r="AC47" t="s">
        <v>1308</v>
      </c>
      <c r="AD47" t="s">
        <v>1308</v>
      </c>
      <c r="AE47" t="s">
        <v>1309</v>
      </c>
      <c r="AF47" t="s">
        <v>1049</v>
      </c>
      <c r="AJ47" t="s">
        <v>740</v>
      </c>
      <c r="AK47" t="s">
        <v>741</v>
      </c>
      <c r="AL47" t="s">
        <v>686</v>
      </c>
      <c r="AM47" t="s">
        <v>687</v>
      </c>
      <c r="AN47" t="s">
        <v>687</v>
      </c>
      <c r="AQ47" t="s">
        <v>863</v>
      </c>
      <c r="AX47">
        <v>142</v>
      </c>
      <c r="AY47">
        <v>99</v>
      </c>
      <c r="BD47" t="s">
        <v>715</v>
      </c>
      <c r="BE47">
        <v>41981.501435185186</v>
      </c>
      <c r="BF47" t="s">
        <v>923</v>
      </c>
      <c r="BG47">
        <v>40879.684548611112</v>
      </c>
    </row>
    <row r="48" spans="1:59" ht="16" customHeight="1" x14ac:dyDescent="0.2">
      <c r="A48">
        <v>137</v>
      </c>
      <c r="C48" t="s">
        <v>1451</v>
      </c>
      <c r="D48" t="s">
        <v>589</v>
      </c>
      <c r="E48" t="str">
        <f t="shared" si="0"/>
        <v>z0134108</v>
      </c>
      <c r="F48" t="s">
        <v>648</v>
      </c>
      <c r="G48" s="6" t="s">
        <v>1452</v>
      </c>
      <c r="H48" t="s">
        <v>741</v>
      </c>
      <c r="I48" t="s">
        <v>1155</v>
      </c>
      <c r="J48" t="s">
        <v>1162</v>
      </c>
      <c r="K48">
        <v>76326</v>
      </c>
      <c r="L48" t="s">
        <v>680</v>
      </c>
      <c r="N48">
        <v>106731</v>
      </c>
      <c r="O48">
        <v>134108</v>
      </c>
      <c r="V48" t="s">
        <v>1042</v>
      </c>
      <c r="W48" s="1">
        <v>40777</v>
      </c>
      <c r="X48">
        <v>2011</v>
      </c>
      <c r="Y48">
        <v>8</v>
      </c>
      <c r="Z48">
        <v>22</v>
      </c>
      <c r="AA48" t="s">
        <v>1017</v>
      </c>
      <c r="AC48" t="s">
        <v>1308</v>
      </c>
      <c r="AD48" t="s">
        <v>1308</v>
      </c>
      <c r="AE48" t="s">
        <v>1309</v>
      </c>
      <c r="AF48" t="s">
        <v>1043</v>
      </c>
      <c r="AJ48" t="s">
        <v>740</v>
      </c>
      <c r="AK48" t="s">
        <v>741</v>
      </c>
      <c r="AL48" t="s">
        <v>686</v>
      </c>
      <c r="AM48" t="s">
        <v>687</v>
      </c>
      <c r="AN48" t="s">
        <v>687</v>
      </c>
      <c r="AQ48" t="s">
        <v>863</v>
      </c>
      <c r="AX48">
        <v>155</v>
      </c>
      <c r="AY48">
        <v>118</v>
      </c>
      <c r="BD48" t="s">
        <v>715</v>
      </c>
      <c r="BE48">
        <v>41981.501435185186</v>
      </c>
      <c r="BF48" t="s">
        <v>923</v>
      </c>
      <c r="BG48">
        <v>40879.684548611112</v>
      </c>
    </row>
    <row r="49" spans="1:59" ht="16" customHeight="1" x14ac:dyDescent="0.2">
      <c r="A49">
        <v>197</v>
      </c>
      <c r="C49" t="s">
        <v>1574</v>
      </c>
      <c r="D49" t="s">
        <v>590</v>
      </c>
      <c r="E49" t="str">
        <f t="shared" si="0"/>
        <v>z0134108</v>
      </c>
      <c r="F49" t="s">
        <v>648</v>
      </c>
      <c r="G49" s="6" t="s">
        <v>1575</v>
      </c>
      <c r="H49" t="s">
        <v>741</v>
      </c>
      <c r="I49" t="s">
        <v>1155</v>
      </c>
      <c r="J49" t="s">
        <v>1156</v>
      </c>
      <c r="K49">
        <v>76326</v>
      </c>
      <c r="L49" t="s">
        <v>680</v>
      </c>
      <c r="N49">
        <v>106731</v>
      </c>
      <c r="O49">
        <v>134108</v>
      </c>
      <c r="V49" t="s">
        <v>1042</v>
      </c>
      <c r="W49" s="1">
        <v>40777</v>
      </c>
      <c r="X49">
        <v>2011</v>
      </c>
      <c r="Y49">
        <v>8</v>
      </c>
      <c r="Z49">
        <v>22</v>
      </c>
      <c r="AA49" t="s">
        <v>1017</v>
      </c>
      <c r="AC49" t="s">
        <v>1308</v>
      </c>
      <c r="AD49" t="s">
        <v>1308</v>
      </c>
      <c r="AE49" t="s">
        <v>1309</v>
      </c>
      <c r="AF49" t="s">
        <v>1043</v>
      </c>
      <c r="AJ49" t="s">
        <v>740</v>
      </c>
      <c r="AK49" t="s">
        <v>741</v>
      </c>
      <c r="AL49" t="s">
        <v>686</v>
      </c>
      <c r="AM49" t="s">
        <v>687</v>
      </c>
      <c r="AN49" t="s">
        <v>687</v>
      </c>
      <c r="AQ49" t="s">
        <v>863</v>
      </c>
      <c r="AX49">
        <v>155</v>
      </c>
      <c r="AY49">
        <v>118</v>
      </c>
      <c r="BD49" t="s">
        <v>715</v>
      </c>
      <c r="BE49">
        <v>41981.501435185186</v>
      </c>
      <c r="BF49" t="s">
        <v>923</v>
      </c>
      <c r="BG49">
        <v>40879.684548611112</v>
      </c>
    </row>
    <row r="50" spans="1:59" ht="16" customHeight="1" x14ac:dyDescent="0.2">
      <c r="A50">
        <v>134</v>
      </c>
      <c r="C50" t="s">
        <v>1445</v>
      </c>
      <c r="D50" t="s">
        <v>585</v>
      </c>
      <c r="E50" t="str">
        <f t="shared" si="0"/>
        <v>z0134097</v>
      </c>
      <c r="F50" t="s">
        <v>648</v>
      </c>
      <c r="G50" s="6" t="s">
        <v>1446</v>
      </c>
      <c r="H50" t="s">
        <v>741</v>
      </c>
      <c r="I50" t="s">
        <v>1155</v>
      </c>
      <c r="J50" t="s">
        <v>1156</v>
      </c>
      <c r="K50">
        <v>76315</v>
      </c>
      <c r="L50" t="s">
        <v>680</v>
      </c>
      <c r="N50">
        <v>106722</v>
      </c>
      <c r="O50">
        <v>134097</v>
      </c>
      <c r="V50" t="s">
        <v>1036</v>
      </c>
      <c r="W50" s="1">
        <v>40764</v>
      </c>
      <c r="X50">
        <v>2011</v>
      </c>
      <c r="Y50">
        <v>8</v>
      </c>
      <c r="Z50">
        <v>9</v>
      </c>
      <c r="AA50" t="s">
        <v>1017</v>
      </c>
      <c r="AC50" t="s">
        <v>1308</v>
      </c>
      <c r="AD50" t="s">
        <v>1308</v>
      </c>
      <c r="AE50" t="s">
        <v>1309</v>
      </c>
      <c r="AF50" t="s">
        <v>1037</v>
      </c>
      <c r="AJ50" t="s">
        <v>740</v>
      </c>
      <c r="AK50" t="s">
        <v>741</v>
      </c>
      <c r="AL50" t="s">
        <v>686</v>
      </c>
      <c r="AM50" t="s">
        <v>687</v>
      </c>
      <c r="AN50" t="s">
        <v>687</v>
      </c>
      <c r="AQ50" t="s">
        <v>863</v>
      </c>
      <c r="AX50">
        <v>157</v>
      </c>
      <c r="AY50">
        <v>119</v>
      </c>
      <c r="BD50" t="s">
        <v>715</v>
      </c>
      <c r="BE50">
        <v>41981.501435185186</v>
      </c>
      <c r="BF50" t="s">
        <v>923</v>
      </c>
      <c r="BG50">
        <v>40879.684537037036</v>
      </c>
    </row>
    <row r="51" spans="1:59" ht="16" customHeight="1" x14ac:dyDescent="0.2">
      <c r="A51">
        <v>139</v>
      </c>
      <c r="C51" t="s">
        <v>1455</v>
      </c>
      <c r="D51" t="s">
        <v>592</v>
      </c>
      <c r="E51" t="str">
        <f t="shared" si="0"/>
        <v>z0134111</v>
      </c>
      <c r="F51" t="s">
        <v>648</v>
      </c>
      <c r="G51" s="6" t="s">
        <v>1456</v>
      </c>
      <c r="H51" t="s">
        <v>741</v>
      </c>
      <c r="I51" t="s">
        <v>1155</v>
      </c>
      <c r="J51" t="s">
        <v>1156</v>
      </c>
      <c r="K51">
        <v>76329</v>
      </c>
      <c r="L51" t="s">
        <v>680</v>
      </c>
      <c r="N51">
        <v>106734</v>
      </c>
      <c r="O51">
        <v>134111</v>
      </c>
      <c r="V51" t="s">
        <v>1046</v>
      </c>
      <c r="W51" s="1">
        <v>40789</v>
      </c>
      <c r="X51">
        <v>2011</v>
      </c>
      <c r="Y51">
        <v>9</v>
      </c>
      <c r="Z51">
        <v>3</v>
      </c>
      <c r="AA51" t="s">
        <v>1017</v>
      </c>
      <c r="AC51" t="s">
        <v>1308</v>
      </c>
      <c r="AD51" t="s">
        <v>1308</v>
      </c>
      <c r="AE51" t="s">
        <v>1309</v>
      </c>
      <c r="AF51" t="s">
        <v>1047</v>
      </c>
      <c r="AJ51" t="s">
        <v>740</v>
      </c>
      <c r="AK51" t="s">
        <v>741</v>
      </c>
      <c r="AL51" t="s">
        <v>686</v>
      </c>
      <c r="AM51" t="s">
        <v>687</v>
      </c>
      <c r="AN51" t="s">
        <v>687</v>
      </c>
      <c r="AQ51" t="s">
        <v>863</v>
      </c>
      <c r="AX51">
        <v>148.5</v>
      </c>
      <c r="AY51">
        <v>108</v>
      </c>
      <c r="BD51" t="s">
        <v>715</v>
      </c>
      <c r="BE51">
        <v>41981.501435185186</v>
      </c>
      <c r="BF51" t="s">
        <v>923</v>
      </c>
      <c r="BG51">
        <v>40879.684548611112</v>
      </c>
    </row>
    <row r="52" spans="1:59" ht="16" customHeight="1" x14ac:dyDescent="0.2">
      <c r="A52">
        <v>141</v>
      </c>
      <c r="C52" t="s">
        <v>1459</v>
      </c>
      <c r="D52" t="s">
        <v>595</v>
      </c>
      <c r="E52" t="str">
        <f t="shared" si="0"/>
        <v>z0134113</v>
      </c>
      <c r="F52" t="s">
        <v>648</v>
      </c>
      <c r="G52" s="6" t="s">
        <v>1460</v>
      </c>
      <c r="H52" t="s">
        <v>741</v>
      </c>
      <c r="I52" t="s">
        <v>1155</v>
      </c>
      <c r="J52" t="s">
        <v>1162</v>
      </c>
      <c r="K52">
        <v>76331</v>
      </c>
      <c r="L52" t="s">
        <v>680</v>
      </c>
      <c r="N52">
        <v>106736</v>
      </c>
      <c r="O52">
        <v>134113</v>
      </c>
      <c r="V52" t="s">
        <v>1050</v>
      </c>
      <c r="W52" s="1">
        <v>40796</v>
      </c>
      <c r="X52">
        <v>2011</v>
      </c>
      <c r="Y52">
        <v>9</v>
      </c>
      <c r="Z52">
        <v>10</v>
      </c>
      <c r="AA52" t="s">
        <v>1017</v>
      </c>
      <c r="AC52" t="s">
        <v>1308</v>
      </c>
      <c r="AD52" t="s">
        <v>1308</v>
      </c>
      <c r="AE52" t="s">
        <v>1309</v>
      </c>
      <c r="AF52" t="s">
        <v>1051</v>
      </c>
      <c r="AJ52" t="s">
        <v>740</v>
      </c>
      <c r="AK52" t="s">
        <v>741</v>
      </c>
      <c r="AL52" t="s">
        <v>686</v>
      </c>
      <c r="AM52" t="s">
        <v>687</v>
      </c>
      <c r="AN52" t="s">
        <v>687</v>
      </c>
      <c r="AQ52" t="s">
        <v>863</v>
      </c>
      <c r="AX52">
        <v>168</v>
      </c>
      <c r="AY52">
        <v>122</v>
      </c>
      <c r="BD52" t="s">
        <v>715</v>
      </c>
      <c r="BE52">
        <v>41981.501435185186</v>
      </c>
      <c r="BF52" t="s">
        <v>923</v>
      </c>
      <c r="BG52">
        <v>40879.684548611112</v>
      </c>
    </row>
    <row r="53" spans="1:59" ht="16" customHeight="1" x14ac:dyDescent="0.2">
      <c r="A53">
        <v>199</v>
      </c>
      <c r="C53" t="s">
        <v>1578</v>
      </c>
      <c r="D53" t="s">
        <v>596</v>
      </c>
      <c r="E53" t="str">
        <f t="shared" si="0"/>
        <v>z0134113</v>
      </c>
      <c r="F53" t="s">
        <v>648</v>
      </c>
      <c r="G53" s="6" t="s">
        <v>1579</v>
      </c>
      <c r="H53" t="s">
        <v>741</v>
      </c>
      <c r="I53" t="s">
        <v>1155</v>
      </c>
      <c r="J53" t="s">
        <v>1156</v>
      </c>
      <c r="K53">
        <v>76331</v>
      </c>
      <c r="L53" t="s">
        <v>680</v>
      </c>
      <c r="N53">
        <v>106736</v>
      </c>
      <c r="O53">
        <v>134113</v>
      </c>
      <c r="V53" t="s">
        <v>1050</v>
      </c>
      <c r="W53" s="1">
        <v>40796</v>
      </c>
      <c r="X53">
        <v>2011</v>
      </c>
      <c r="Y53">
        <v>9</v>
      </c>
      <c r="Z53">
        <v>10</v>
      </c>
      <c r="AA53" t="s">
        <v>1017</v>
      </c>
      <c r="AC53" t="s">
        <v>1308</v>
      </c>
      <c r="AD53" t="s">
        <v>1308</v>
      </c>
      <c r="AE53" t="s">
        <v>1309</v>
      </c>
      <c r="AF53" t="s">
        <v>1051</v>
      </c>
      <c r="AJ53" t="s">
        <v>740</v>
      </c>
      <c r="AK53" t="s">
        <v>741</v>
      </c>
      <c r="AL53" t="s">
        <v>686</v>
      </c>
      <c r="AM53" t="s">
        <v>687</v>
      </c>
      <c r="AN53" t="s">
        <v>687</v>
      </c>
      <c r="AQ53" t="s">
        <v>863</v>
      </c>
      <c r="AX53">
        <v>168</v>
      </c>
      <c r="AY53">
        <v>122</v>
      </c>
      <c r="BD53" t="s">
        <v>715</v>
      </c>
      <c r="BE53">
        <v>41981.501435185186</v>
      </c>
      <c r="BF53" t="s">
        <v>923</v>
      </c>
      <c r="BG53">
        <v>40879.684548611112</v>
      </c>
    </row>
    <row r="54" spans="1:59" ht="16" customHeight="1" x14ac:dyDescent="0.2">
      <c r="A54">
        <v>138</v>
      </c>
      <c r="C54" t="s">
        <v>1453</v>
      </c>
      <c r="D54" t="s">
        <v>591</v>
      </c>
      <c r="E54" t="str">
        <f t="shared" si="0"/>
        <v>z0134109</v>
      </c>
      <c r="F54" t="s">
        <v>648</v>
      </c>
      <c r="G54" s="6" t="s">
        <v>1454</v>
      </c>
      <c r="H54" t="s">
        <v>741</v>
      </c>
      <c r="I54" t="s">
        <v>1155</v>
      </c>
      <c r="J54" t="s">
        <v>1156</v>
      </c>
      <c r="K54">
        <v>76327</v>
      </c>
      <c r="L54" t="s">
        <v>680</v>
      </c>
      <c r="N54">
        <v>106732</v>
      </c>
      <c r="O54">
        <v>134109</v>
      </c>
      <c r="V54" t="s">
        <v>1044</v>
      </c>
      <c r="W54" s="1">
        <v>40780</v>
      </c>
      <c r="X54">
        <v>2011</v>
      </c>
      <c r="Y54">
        <v>8</v>
      </c>
      <c r="Z54">
        <v>25</v>
      </c>
      <c r="AA54" t="s">
        <v>1017</v>
      </c>
      <c r="AC54" t="s">
        <v>1308</v>
      </c>
      <c r="AD54" t="s">
        <v>1308</v>
      </c>
      <c r="AE54" t="s">
        <v>1309</v>
      </c>
      <c r="AF54" t="s">
        <v>1045</v>
      </c>
      <c r="AJ54" t="s">
        <v>740</v>
      </c>
      <c r="AK54" t="s">
        <v>741</v>
      </c>
      <c r="AL54" t="s">
        <v>686</v>
      </c>
      <c r="AM54" t="s">
        <v>687</v>
      </c>
      <c r="AN54" t="s">
        <v>687</v>
      </c>
      <c r="AQ54" t="s">
        <v>863</v>
      </c>
      <c r="AX54">
        <v>157</v>
      </c>
      <c r="AY54">
        <v>118</v>
      </c>
      <c r="BD54" t="s">
        <v>715</v>
      </c>
      <c r="BE54">
        <v>41981.501435185186</v>
      </c>
      <c r="BF54" t="s">
        <v>923</v>
      </c>
      <c r="BG54">
        <v>40879.684548611112</v>
      </c>
    </row>
    <row r="55" spans="1:59" ht="16" customHeight="1" x14ac:dyDescent="0.2">
      <c r="A55">
        <v>133</v>
      </c>
      <c r="C55" t="s">
        <v>1443</v>
      </c>
      <c r="D55" t="s">
        <v>584</v>
      </c>
      <c r="E55" t="str">
        <f t="shared" si="0"/>
        <v>z0134095</v>
      </c>
      <c r="F55" t="s">
        <v>648</v>
      </c>
      <c r="G55" s="6" t="s">
        <v>1444</v>
      </c>
      <c r="H55" t="s">
        <v>741</v>
      </c>
      <c r="I55" t="s">
        <v>1155</v>
      </c>
      <c r="J55" t="s">
        <v>1156</v>
      </c>
      <c r="K55">
        <v>76313</v>
      </c>
      <c r="L55" t="s">
        <v>680</v>
      </c>
      <c r="N55">
        <v>106720</v>
      </c>
      <c r="O55">
        <v>134095</v>
      </c>
      <c r="V55" t="s">
        <v>1034</v>
      </c>
      <c r="W55" s="1">
        <v>40763</v>
      </c>
      <c r="X55">
        <v>2011</v>
      </c>
      <c r="Y55">
        <v>8</v>
      </c>
      <c r="Z55">
        <v>8</v>
      </c>
      <c r="AA55" t="s">
        <v>1017</v>
      </c>
      <c r="AC55" t="s">
        <v>1308</v>
      </c>
      <c r="AD55" t="s">
        <v>1308</v>
      </c>
      <c r="AE55" t="s">
        <v>1309</v>
      </c>
      <c r="AF55" t="s">
        <v>1035</v>
      </c>
      <c r="AJ55" t="s">
        <v>740</v>
      </c>
      <c r="AK55" t="s">
        <v>741</v>
      </c>
      <c r="AL55" t="s">
        <v>686</v>
      </c>
      <c r="AM55" t="s">
        <v>687</v>
      </c>
      <c r="AN55" t="s">
        <v>687</v>
      </c>
      <c r="AQ55" t="s">
        <v>863</v>
      </c>
      <c r="AX55">
        <v>171</v>
      </c>
      <c r="AY55">
        <v>120.5</v>
      </c>
      <c r="BD55" t="s">
        <v>715</v>
      </c>
      <c r="BE55">
        <v>41981.501435185186</v>
      </c>
      <c r="BF55" t="s">
        <v>923</v>
      </c>
      <c r="BG55">
        <v>40879.684537037036</v>
      </c>
    </row>
    <row r="56" spans="1:59" ht="16" customHeight="1" x14ac:dyDescent="0.2">
      <c r="A56">
        <v>130</v>
      </c>
      <c r="C56" t="s">
        <v>1436</v>
      </c>
      <c r="D56" t="s">
        <v>579</v>
      </c>
      <c r="E56" t="str">
        <f t="shared" si="0"/>
        <v>z0134070</v>
      </c>
      <c r="F56" t="s">
        <v>648</v>
      </c>
      <c r="G56" s="6" t="s">
        <v>1437</v>
      </c>
      <c r="H56" t="s">
        <v>741</v>
      </c>
      <c r="I56" t="s">
        <v>1155</v>
      </c>
      <c r="J56" t="s">
        <v>1156</v>
      </c>
      <c r="K56">
        <v>76288</v>
      </c>
      <c r="L56" t="s">
        <v>680</v>
      </c>
      <c r="N56">
        <v>106699</v>
      </c>
      <c r="O56">
        <v>134070</v>
      </c>
      <c r="V56" t="s">
        <v>1027</v>
      </c>
      <c r="W56" s="1">
        <v>40740</v>
      </c>
      <c r="X56">
        <v>2011</v>
      </c>
      <c r="Y56">
        <v>7</v>
      </c>
      <c r="Z56">
        <v>16</v>
      </c>
      <c r="AA56" t="s">
        <v>1017</v>
      </c>
      <c r="AC56" t="s">
        <v>1308</v>
      </c>
      <c r="AD56" t="s">
        <v>1308</v>
      </c>
      <c r="AE56" t="s">
        <v>1309</v>
      </c>
      <c r="AF56" t="s">
        <v>1028</v>
      </c>
      <c r="AJ56" t="s">
        <v>740</v>
      </c>
      <c r="AK56" t="s">
        <v>741</v>
      </c>
      <c r="AL56" t="s">
        <v>686</v>
      </c>
      <c r="AM56" t="s">
        <v>687</v>
      </c>
      <c r="AN56" t="s">
        <v>687</v>
      </c>
      <c r="AQ56" t="s">
        <v>863</v>
      </c>
      <c r="AX56">
        <v>149</v>
      </c>
      <c r="AY56">
        <v>111</v>
      </c>
      <c r="BD56" t="s">
        <v>715</v>
      </c>
      <c r="BE56">
        <v>41981.501435185186</v>
      </c>
      <c r="BF56" t="s">
        <v>923</v>
      </c>
      <c r="BG56">
        <v>40879.684525462966</v>
      </c>
    </row>
    <row r="57" spans="1:59" ht="16" customHeight="1" x14ac:dyDescent="0.2">
      <c r="A57">
        <v>194</v>
      </c>
      <c r="C57" t="s">
        <v>1568</v>
      </c>
      <c r="D57" t="s">
        <v>580</v>
      </c>
      <c r="E57" t="str">
        <f t="shared" si="0"/>
        <v>z0134070</v>
      </c>
      <c r="F57" t="s">
        <v>648</v>
      </c>
      <c r="G57" s="6" t="s">
        <v>1569</v>
      </c>
      <c r="H57" t="s">
        <v>741</v>
      </c>
      <c r="I57" t="s">
        <v>1155</v>
      </c>
      <c r="J57" t="s">
        <v>1162</v>
      </c>
      <c r="K57">
        <v>76288</v>
      </c>
      <c r="L57" t="s">
        <v>680</v>
      </c>
      <c r="N57">
        <v>106699</v>
      </c>
      <c r="O57">
        <v>134070</v>
      </c>
      <c r="V57" t="s">
        <v>1027</v>
      </c>
      <c r="W57" s="1">
        <v>40740</v>
      </c>
      <c r="X57">
        <v>2011</v>
      </c>
      <c r="Y57">
        <v>7</v>
      </c>
      <c r="Z57">
        <v>16</v>
      </c>
      <c r="AA57" t="s">
        <v>1017</v>
      </c>
      <c r="AC57" t="s">
        <v>1308</v>
      </c>
      <c r="AD57" t="s">
        <v>1308</v>
      </c>
      <c r="AE57" t="s">
        <v>1309</v>
      </c>
      <c r="AF57" t="s">
        <v>1028</v>
      </c>
      <c r="AJ57" t="s">
        <v>740</v>
      </c>
      <c r="AK57" t="s">
        <v>741</v>
      </c>
      <c r="AL57" t="s">
        <v>686</v>
      </c>
      <c r="AM57" t="s">
        <v>687</v>
      </c>
      <c r="AN57" t="s">
        <v>687</v>
      </c>
      <c r="AQ57" t="s">
        <v>863</v>
      </c>
      <c r="AX57">
        <v>149</v>
      </c>
      <c r="AY57">
        <v>111</v>
      </c>
      <c r="BD57" t="s">
        <v>715</v>
      </c>
      <c r="BE57">
        <v>41981.501435185186</v>
      </c>
      <c r="BF57" t="s">
        <v>923</v>
      </c>
      <c r="BG57">
        <v>40879.684525462966</v>
      </c>
    </row>
    <row r="58" spans="1:59" ht="16" customHeight="1" x14ac:dyDescent="0.2">
      <c r="A58">
        <v>129</v>
      </c>
      <c r="C58" t="s">
        <v>1434</v>
      </c>
      <c r="D58" t="s">
        <v>578</v>
      </c>
      <c r="E58" t="str">
        <f t="shared" si="0"/>
        <v>z0134066</v>
      </c>
      <c r="F58" t="s">
        <v>648</v>
      </c>
      <c r="G58" s="6" t="s">
        <v>1435</v>
      </c>
      <c r="H58" t="s">
        <v>741</v>
      </c>
      <c r="I58" t="s">
        <v>1155</v>
      </c>
      <c r="J58" t="s">
        <v>1156</v>
      </c>
      <c r="K58">
        <v>76284</v>
      </c>
      <c r="L58" t="s">
        <v>680</v>
      </c>
      <c r="N58">
        <v>106695</v>
      </c>
      <c r="O58">
        <v>134066</v>
      </c>
      <c r="V58" t="s">
        <v>1025</v>
      </c>
      <c r="W58" s="1">
        <v>40740</v>
      </c>
      <c r="X58">
        <v>2011</v>
      </c>
      <c r="Y58">
        <v>7</v>
      </c>
      <c r="Z58">
        <v>16</v>
      </c>
      <c r="AA58" t="s">
        <v>1017</v>
      </c>
      <c r="AC58" t="s">
        <v>1308</v>
      </c>
      <c r="AD58" t="s">
        <v>1308</v>
      </c>
      <c r="AE58" t="s">
        <v>1309</v>
      </c>
      <c r="AF58" t="s">
        <v>1026</v>
      </c>
      <c r="AJ58" t="s">
        <v>740</v>
      </c>
      <c r="AK58" t="s">
        <v>741</v>
      </c>
      <c r="AL58" t="s">
        <v>686</v>
      </c>
      <c r="AM58" t="s">
        <v>687</v>
      </c>
      <c r="AN58" t="s">
        <v>687</v>
      </c>
      <c r="AQ58" t="s">
        <v>863</v>
      </c>
      <c r="AX58">
        <v>156.6</v>
      </c>
      <c r="AY58">
        <v>116.5</v>
      </c>
      <c r="BD58" t="s">
        <v>715</v>
      </c>
      <c r="BE58">
        <v>41981.501435185186</v>
      </c>
      <c r="BF58" t="s">
        <v>923</v>
      </c>
      <c r="BG58">
        <v>40879.684525462966</v>
      </c>
    </row>
    <row r="59" spans="1:59" ht="16" customHeight="1" x14ac:dyDescent="0.2">
      <c r="A59">
        <v>132</v>
      </c>
      <c r="C59" t="s">
        <v>1441</v>
      </c>
      <c r="D59" t="s">
        <v>583</v>
      </c>
      <c r="E59" t="str">
        <f t="shared" si="0"/>
        <v>z0134087</v>
      </c>
      <c r="F59" t="s">
        <v>648</v>
      </c>
      <c r="G59" s="6" t="s">
        <v>1442</v>
      </c>
      <c r="H59" t="s">
        <v>741</v>
      </c>
      <c r="I59" t="s">
        <v>1155</v>
      </c>
      <c r="J59" t="s">
        <v>1156</v>
      </c>
      <c r="K59">
        <v>76305</v>
      </c>
      <c r="L59" t="s">
        <v>680</v>
      </c>
      <c r="N59">
        <v>106714</v>
      </c>
      <c r="O59">
        <v>134087</v>
      </c>
      <c r="V59" t="s">
        <v>1032</v>
      </c>
      <c r="W59" s="1">
        <v>40754</v>
      </c>
      <c r="X59">
        <v>2011</v>
      </c>
      <c r="Y59">
        <v>7</v>
      </c>
      <c r="Z59">
        <v>30</v>
      </c>
      <c r="AA59" t="s">
        <v>1017</v>
      </c>
      <c r="AC59" t="s">
        <v>1308</v>
      </c>
      <c r="AD59" t="s">
        <v>1308</v>
      </c>
      <c r="AE59" t="s">
        <v>1309</v>
      </c>
      <c r="AF59" t="s">
        <v>1033</v>
      </c>
      <c r="AJ59" t="s">
        <v>740</v>
      </c>
      <c r="AK59" t="s">
        <v>741</v>
      </c>
      <c r="AL59" t="s">
        <v>686</v>
      </c>
      <c r="AM59" t="s">
        <v>687</v>
      </c>
      <c r="AN59" t="s">
        <v>687</v>
      </c>
      <c r="AQ59" t="s">
        <v>863</v>
      </c>
      <c r="AX59">
        <v>157</v>
      </c>
      <c r="AY59">
        <v>115</v>
      </c>
      <c r="BD59" t="s">
        <v>715</v>
      </c>
      <c r="BE59">
        <v>41981.501435185186</v>
      </c>
      <c r="BF59" t="s">
        <v>923</v>
      </c>
      <c r="BG59">
        <v>40879.684537037036</v>
      </c>
    </row>
    <row r="60" spans="1:59" ht="16" customHeight="1" x14ac:dyDescent="0.2">
      <c r="A60">
        <v>118</v>
      </c>
      <c r="C60" t="s">
        <v>1410</v>
      </c>
      <c r="D60" t="s">
        <v>563</v>
      </c>
      <c r="E60" t="str">
        <f t="shared" si="0"/>
        <v>z0102610</v>
      </c>
      <c r="F60" t="s">
        <v>648</v>
      </c>
      <c r="G60" s="6" t="s">
        <v>1411</v>
      </c>
      <c r="H60" t="s">
        <v>741</v>
      </c>
      <c r="I60" t="s">
        <v>1155</v>
      </c>
      <c r="J60" t="s">
        <v>1162</v>
      </c>
      <c r="K60">
        <v>66268</v>
      </c>
      <c r="L60" t="s">
        <v>680</v>
      </c>
      <c r="N60">
        <v>97661</v>
      </c>
      <c r="O60">
        <v>102610</v>
      </c>
      <c r="V60">
        <v>126331471</v>
      </c>
      <c r="W60" s="1">
        <v>40348</v>
      </c>
      <c r="X60">
        <v>2010</v>
      </c>
      <c r="Y60">
        <v>6</v>
      </c>
      <c r="Z60">
        <v>19</v>
      </c>
      <c r="AA60" t="s">
        <v>1013</v>
      </c>
      <c r="AC60" t="s">
        <v>1308</v>
      </c>
      <c r="AD60" t="s">
        <v>1308</v>
      </c>
      <c r="AE60" t="s">
        <v>1309</v>
      </c>
      <c r="AF60" t="s">
        <v>1015</v>
      </c>
      <c r="AJ60" t="s">
        <v>740</v>
      </c>
      <c r="AK60" t="s">
        <v>741</v>
      </c>
      <c r="AL60" t="s">
        <v>686</v>
      </c>
      <c r="AM60" t="s">
        <v>687</v>
      </c>
      <c r="AN60" t="s">
        <v>687</v>
      </c>
      <c r="AQ60" t="s">
        <v>863</v>
      </c>
      <c r="BD60" t="s">
        <v>715</v>
      </c>
      <c r="BE60">
        <v>40862.384629629632</v>
      </c>
      <c r="BF60" t="s">
        <v>923</v>
      </c>
      <c r="BG60">
        <v>40512.670405092591</v>
      </c>
    </row>
    <row r="61" spans="1:59" ht="16" customHeight="1" x14ac:dyDescent="0.2">
      <c r="A61">
        <v>119</v>
      </c>
      <c r="C61" t="s">
        <v>1412</v>
      </c>
      <c r="D61" t="s">
        <v>565</v>
      </c>
      <c r="E61" t="str">
        <f t="shared" si="0"/>
        <v>z0102616</v>
      </c>
      <c r="F61" t="s">
        <v>648</v>
      </c>
      <c r="G61" s="6" t="s">
        <v>1413</v>
      </c>
      <c r="H61" t="s">
        <v>741</v>
      </c>
      <c r="I61" t="s">
        <v>1155</v>
      </c>
      <c r="J61" t="s">
        <v>1162</v>
      </c>
      <c r="K61">
        <v>66274</v>
      </c>
      <c r="L61" t="s">
        <v>680</v>
      </c>
      <c r="N61">
        <v>97692</v>
      </c>
      <c r="O61">
        <v>102616</v>
      </c>
      <c r="V61">
        <v>126479650</v>
      </c>
      <c r="W61" s="1">
        <v>40349</v>
      </c>
      <c r="X61">
        <v>2010</v>
      </c>
      <c r="Y61">
        <v>6</v>
      </c>
      <c r="Z61">
        <v>20</v>
      </c>
      <c r="AA61" t="s">
        <v>1013</v>
      </c>
      <c r="AC61" t="s">
        <v>1308</v>
      </c>
      <c r="AD61" t="s">
        <v>1308</v>
      </c>
      <c r="AE61" t="s">
        <v>1309</v>
      </c>
      <c r="AF61" t="s">
        <v>1015</v>
      </c>
      <c r="AJ61" t="s">
        <v>740</v>
      </c>
      <c r="AK61" t="s">
        <v>741</v>
      </c>
      <c r="AL61" t="s">
        <v>686</v>
      </c>
      <c r="AM61" t="s">
        <v>687</v>
      </c>
      <c r="AN61" t="s">
        <v>687</v>
      </c>
      <c r="AQ61" t="s">
        <v>863</v>
      </c>
      <c r="BD61" t="s">
        <v>715</v>
      </c>
      <c r="BE61">
        <v>40862.384629629632</v>
      </c>
      <c r="BF61" t="s">
        <v>923</v>
      </c>
      <c r="BG61">
        <v>40512.670405092591</v>
      </c>
    </row>
    <row r="62" spans="1:59" ht="16" customHeight="1" x14ac:dyDescent="0.2">
      <c r="A62">
        <v>177</v>
      </c>
      <c r="C62" t="s">
        <v>1534</v>
      </c>
      <c r="D62" t="s">
        <v>564</v>
      </c>
      <c r="E62" t="str">
        <f t="shared" si="0"/>
        <v>z0102610</v>
      </c>
      <c r="F62" t="s">
        <v>648</v>
      </c>
      <c r="G62" s="6" t="s">
        <v>1535</v>
      </c>
      <c r="H62" t="s">
        <v>741</v>
      </c>
      <c r="I62" t="s">
        <v>1155</v>
      </c>
      <c r="J62" t="s">
        <v>1162</v>
      </c>
      <c r="K62">
        <v>66268</v>
      </c>
      <c r="L62" t="s">
        <v>680</v>
      </c>
      <c r="N62">
        <v>97661</v>
      </c>
      <c r="O62">
        <v>102610</v>
      </c>
      <c r="V62">
        <v>126331471</v>
      </c>
      <c r="W62" s="1">
        <v>40348</v>
      </c>
      <c r="X62">
        <v>2010</v>
      </c>
      <c r="Y62">
        <v>6</v>
      </c>
      <c r="Z62">
        <v>19</v>
      </c>
      <c r="AA62" t="s">
        <v>1013</v>
      </c>
      <c r="AC62" t="s">
        <v>1308</v>
      </c>
      <c r="AD62" t="s">
        <v>1308</v>
      </c>
      <c r="AE62" t="s">
        <v>1309</v>
      </c>
      <c r="AF62" t="s">
        <v>1015</v>
      </c>
      <c r="AJ62" t="s">
        <v>740</v>
      </c>
      <c r="AK62" t="s">
        <v>741</v>
      </c>
      <c r="AL62" t="s">
        <v>686</v>
      </c>
      <c r="AM62" t="s">
        <v>687</v>
      </c>
      <c r="AN62" t="s">
        <v>687</v>
      </c>
      <c r="AQ62" t="s">
        <v>863</v>
      </c>
      <c r="BD62" t="s">
        <v>715</v>
      </c>
      <c r="BE62">
        <v>40862.384629629632</v>
      </c>
      <c r="BF62" t="s">
        <v>923</v>
      </c>
      <c r="BG62">
        <v>40512.670405092591</v>
      </c>
    </row>
    <row r="63" spans="1:59" ht="16" customHeight="1" x14ac:dyDescent="0.2">
      <c r="A63">
        <v>178</v>
      </c>
      <c r="C63" t="s">
        <v>1536</v>
      </c>
      <c r="D63" t="s">
        <v>566</v>
      </c>
      <c r="E63" t="str">
        <f t="shared" si="0"/>
        <v>z0102616</v>
      </c>
      <c r="F63" t="s">
        <v>648</v>
      </c>
      <c r="G63" s="6" t="s">
        <v>1537</v>
      </c>
      <c r="H63" t="s">
        <v>741</v>
      </c>
      <c r="I63" t="s">
        <v>1155</v>
      </c>
      <c r="J63" t="s">
        <v>1162</v>
      </c>
      <c r="K63">
        <v>66274</v>
      </c>
      <c r="L63" t="s">
        <v>680</v>
      </c>
      <c r="N63">
        <v>97692</v>
      </c>
      <c r="O63">
        <v>102616</v>
      </c>
      <c r="V63">
        <v>126479650</v>
      </c>
      <c r="W63" s="1">
        <v>40349</v>
      </c>
      <c r="X63">
        <v>2010</v>
      </c>
      <c r="Y63">
        <v>6</v>
      </c>
      <c r="Z63">
        <v>20</v>
      </c>
      <c r="AA63" t="s">
        <v>1013</v>
      </c>
      <c r="AC63" t="s">
        <v>1308</v>
      </c>
      <c r="AD63" t="s">
        <v>1308</v>
      </c>
      <c r="AE63" t="s">
        <v>1309</v>
      </c>
      <c r="AF63" t="s">
        <v>1015</v>
      </c>
      <c r="AJ63" t="s">
        <v>740</v>
      </c>
      <c r="AK63" t="s">
        <v>741</v>
      </c>
      <c r="AL63" t="s">
        <v>686</v>
      </c>
      <c r="AM63" t="s">
        <v>687</v>
      </c>
      <c r="AN63" t="s">
        <v>687</v>
      </c>
      <c r="AQ63" t="s">
        <v>863</v>
      </c>
      <c r="BD63" t="s">
        <v>715</v>
      </c>
      <c r="BE63">
        <v>40862.384629629632</v>
      </c>
      <c r="BF63" t="s">
        <v>923</v>
      </c>
      <c r="BG63">
        <v>40512.670405092591</v>
      </c>
    </row>
    <row r="64" spans="1:59" ht="16" customHeight="1" x14ac:dyDescent="0.2">
      <c r="A64">
        <v>116</v>
      </c>
      <c r="C64" t="s">
        <v>1406</v>
      </c>
      <c r="D64" t="s">
        <v>560</v>
      </c>
      <c r="E64" t="str">
        <f t="shared" si="0"/>
        <v>z0102589</v>
      </c>
      <c r="F64" t="s">
        <v>648</v>
      </c>
      <c r="G64" s="6" t="s">
        <v>1407</v>
      </c>
      <c r="H64" t="s">
        <v>741</v>
      </c>
      <c r="I64" t="s">
        <v>1155</v>
      </c>
      <c r="J64" t="s">
        <v>1162</v>
      </c>
      <c r="K64">
        <v>66247</v>
      </c>
      <c r="L64" t="s">
        <v>680</v>
      </c>
      <c r="N64">
        <v>97612</v>
      </c>
      <c r="O64">
        <v>102589</v>
      </c>
      <c r="V64">
        <v>123649573</v>
      </c>
      <c r="W64" s="1">
        <v>40344</v>
      </c>
      <c r="X64">
        <v>2010</v>
      </c>
      <c r="Y64">
        <v>6</v>
      </c>
      <c r="Z64">
        <v>15</v>
      </c>
      <c r="AA64" t="s">
        <v>1013</v>
      </c>
      <c r="AC64" t="s">
        <v>1308</v>
      </c>
      <c r="AD64" t="s">
        <v>1308</v>
      </c>
      <c r="AE64" t="s">
        <v>1309</v>
      </c>
      <c r="AF64" t="s">
        <v>1014</v>
      </c>
      <c r="AJ64" t="s">
        <v>740</v>
      </c>
      <c r="AK64" t="s">
        <v>741</v>
      </c>
      <c r="AL64" t="s">
        <v>686</v>
      </c>
      <c r="AM64" t="s">
        <v>687</v>
      </c>
      <c r="AN64" t="s">
        <v>687</v>
      </c>
      <c r="AQ64" t="s">
        <v>863</v>
      </c>
      <c r="BD64" t="s">
        <v>715</v>
      </c>
      <c r="BE64">
        <v>40862.384629629632</v>
      </c>
      <c r="BF64" t="s">
        <v>923</v>
      </c>
      <c r="BG64">
        <v>40512.670405092591</v>
      </c>
    </row>
    <row r="65" spans="1:59" ht="16" customHeight="1" x14ac:dyDescent="0.2">
      <c r="A65">
        <v>117</v>
      </c>
      <c r="C65" t="s">
        <v>1408</v>
      </c>
      <c r="D65" t="s">
        <v>561</v>
      </c>
      <c r="E65" t="str">
        <f t="shared" si="0"/>
        <v>z0102605</v>
      </c>
      <c r="F65" t="s">
        <v>648</v>
      </c>
      <c r="G65" s="6" t="s">
        <v>1409</v>
      </c>
      <c r="H65" t="s">
        <v>741</v>
      </c>
      <c r="I65" t="s">
        <v>1155</v>
      </c>
      <c r="J65" t="s">
        <v>1162</v>
      </c>
      <c r="K65">
        <v>66263</v>
      </c>
      <c r="L65" t="s">
        <v>680</v>
      </c>
      <c r="N65">
        <v>97644</v>
      </c>
      <c r="O65">
        <v>102605</v>
      </c>
      <c r="V65">
        <v>126213230</v>
      </c>
      <c r="W65" s="1">
        <v>40346</v>
      </c>
      <c r="X65">
        <v>2010</v>
      </c>
      <c r="Y65">
        <v>6</v>
      </c>
      <c r="Z65">
        <v>17</v>
      </c>
      <c r="AA65" t="s">
        <v>1013</v>
      </c>
      <c r="AC65" t="s">
        <v>1308</v>
      </c>
      <c r="AD65" t="s">
        <v>1308</v>
      </c>
      <c r="AE65" t="s">
        <v>1309</v>
      </c>
      <c r="AF65" t="s">
        <v>1014</v>
      </c>
      <c r="AJ65" t="s">
        <v>740</v>
      </c>
      <c r="AK65" t="s">
        <v>741</v>
      </c>
      <c r="AL65" t="s">
        <v>686</v>
      </c>
      <c r="AM65" t="s">
        <v>687</v>
      </c>
      <c r="AN65" t="s">
        <v>687</v>
      </c>
      <c r="AQ65" t="s">
        <v>863</v>
      </c>
      <c r="BD65" t="s">
        <v>715</v>
      </c>
      <c r="BE65">
        <v>40862.384629629632</v>
      </c>
      <c r="BF65" t="s">
        <v>923</v>
      </c>
      <c r="BG65">
        <v>40512.670405092591</v>
      </c>
    </row>
    <row r="66" spans="1:59" ht="16" customHeight="1" x14ac:dyDescent="0.2">
      <c r="A66">
        <v>120</v>
      </c>
      <c r="C66" t="s">
        <v>1414</v>
      </c>
      <c r="D66" t="s">
        <v>567</v>
      </c>
      <c r="E66" t="str">
        <f t="shared" ref="E66:E129" si="1">LEFT(D66, 8)</f>
        <v>z0102682</v>
      </c>
      <c r="F66" t="s">
        <v>648</v>
      </c>
      <c r="G66" s="6" t="s">
        <v>1415</v>
      </c>
      <c r="H66" t="s">
        <v>741</v>
      </c>
      <c r="I66" t="s">
        <v>1155</v>
      </c>
      <c r="J66" t="s">
        <v>1162</v>
      </c>
      <c r="K66">
        <v>66340</v>
      </c>
      <c r="L66" t="s">
        <v>680</v>
      </c>
      <c r="N66">
        <v>97680</v>
      </c>
      <c r="O66">
        <v>102682</v>
      </c>
      <c r="V66">
        <v>126424477</v>
      </c>
      <c r="W66" s="1">
        <v>40379</v>
      </c>
      <c r="X66">
        <v>2010</v>
      </c>
      <c r="Y66">
        <v>7</v>
      </c>
      <c r="Z66">
        <v>20</v>
      </c>
      <c r="AA66" t="s">
        <v>1013</v>
      </c>
      <c r="AC66" t="s">
        <v>1308</v>
      </c>
      <c r="AD66" t="s">
        <v>1308</v>
      </c>
      <c r="AE66" t="s">
        <v>1309</v>
      </c>
      <c r="AF66" t="s">
        <v>1014</v>
      </c>
      <c r="AJ66" t="s">
        <v>740</v>
      </c>
      <c r="AK66" t="s">
        <v>741</v>
      </c>
      <c r="AL66" t="s">
        <v>686</v>
      </c>
      <c r="AM66" t="s">
        <v>687</v>
      </c>
      <c r="AN66" t="s">
        <v>687</v>
      </c>
      <c r="AQ66" t="s">
        <v>863</v>
      </c>
      <c r="BD66" t="s">
        <v>715</v>
      </c>
      <c r="BE66">
        <v>40862.384629629632</v>
      </c>
      <c r="BF66" t="s">
        <v>923</v>
      </c>
      <c r="BG66">
        <v>40512.670428240737</v>
      </c>
    </row>
    <row r="67" spans="1:59" ht="16" customHeight="1" x14ac:dyDescent="0.2">
      <c r="A67">
        <v>176</v>
      </c>
      <c r="C67" t="s">
        <v>1532</v>
      </c>
      <c r="D67" t="s">
        <v>562</v>
      </c>
      <c r="E67" t="str">
        <f t="shared" si="1"/>
        <v>z0102605</v>
      </c>
      <c r="F67" t="s">
        <v>648</v>
      </c>
      <c r="G67" s="6" t="s">
        <v>1533</v>
      </c>
      <c r="H67" t="s">
        <v>741</v>
      </c>
      <c r="I67" t="s">
        <v>1155</v>
      </c>
      <c r="J67" t="s">
        <v>1156</v>
      </c>
      <c r="K67">
        <v>66263</v>
      </c>
      <c r="L67" t="s">
        <v>680</v>
      </c>
      <c r="N67">
        <v>97644</v>
      </c>
      <c r="O67">
        <v>102605</v>
      </c>
      <c r="V67">
        <v>126213230</v>
      </c>
      <c r="W67" s="1">
        <v>40346</v>
      </c>
      <c r="X67">
        <v>2010</v>
      </c>
      <c r="Y67">
        <v>6</v>
      </c>
      <c r="Z67">
        <v>17</v>
      </c>
      <c r="AA67" t="s">
        <v>1013</v>
      </c>
      <c r="AC67" t="s">
        <v>1308</v>
      </c>
      <c r="AD67" t="s">
        <v>1308</v>
      </c>
      <c r="AE67" t="s">
        <v>1309</v>
      </c>
      <c r="AF67" t="s">
        <v>1014</v>
      </c>
      <c r="AJ67" t="s">
        <v>740</v>
      </c>
      <c r="AK67" t="s">
        <v>741</v>
      </c>
      <c r="AL67" t="s">
        <v>686</v>
      </c>
      <c r="AM67" t="s">
        <v>687</v>
      </c>
      <c r="AN67" t="s">
        <v>687</v>
      </c>
      <c r="AQ67" t="s">
        <v>863</v>
      </c>
      <c r="BD67" t="s">
        <v>715</v>
      </c>
      <c r="BE67">
        <v>40862.384629629632</v>
      </c>
      <c r="BF67" t="s">
        <v>923</v>
      </c>
      <c r="BG67">
        <v>40512.670405092591</v>
      </c>
    </row>
    <row r="68" spans="1:59" ht="16" customHeight="1" x14ac:dyDescent="0.2">
      <c r="A68">
        <v>136</v>
      </c>
      <c r="C68" t="s">
        <v>1449</v>
      </c>
      <c r="D68" t="s">
        <v>588</v>
      </c>
      <c r="E68" t="str">
        <f t="shared" si="1"/>
        <v>z0134101</v>
      </c>
      <c r="F68" t="s">
        <v>648</v>
      </c>
      <c r="G68" s="6" t="s">
        <v>1450</v>
      </c>
      <c r="H68" t="s">
        <v>741</v>
      </c>
      <c r="I68" t="s">
        <v>1155</v>
      </c>
      <c r="J68" t="s">
        <v>1156</v>
      </c>
      <c r="K68">
        <v>76319</v>
      </c>
      <c r="L68" t="s">
        <v>680</v>
      </c>
      <c r="N68">
        <v>106725</v>
      </c>
      <c r="O68">
        <v>134101</v>
      </c>
      <c r="V68" t="s">
        <v>1040</v>
      </c>
      <c r="W68" s="1">
        <v>40771</v>
      </c>
      <c r="X68">
        <v>2011</v>
      </c>
      <c r="Y68">
        <v>8</v>
      </c>
      <c r="Z68">
        <v>16</v>
      </c>
      <c r="AA68" t="s">
        <v>1017</v>
      </c>
      <c r="AC68" t="s">
        <v>1308</v>
      </c>
      <c r="AD68" t="s">
        <v>1308</v>
      </c>
      <c r="AE68" t="s">
        <v>1309</v>
      </c>
      <c r="AF68" t="s">
        <v>1041</v>
      </c>
      <c r="AJ68" t="s">
        <v>740</v>
      </c>
      <c r="AK68" t="s">
        <v>741</v>
      </c>
      <c r="AL68" t="s">
        <v>686</v>
      </c>
      <c r="AM68" t="s">
        <v>687</v>
      </c>
      <c r="AN68" t="s">
        <v>687</v>
      </c>
      <c r="AQ68" t="s">
        <v>863</v>
      </c>
      <c r="AX68">
        <v>164.5</v>
      </c>
      <c r="AY68">
        <v>118</v>
      </c>
      <c r="BD68" t="s">
        <v>715</v>
      </c>
      <c r="BE68">
        <v>41981.501435185186</v>
      </c>
      <c r="BF68" t="s">
        <v>923</v>
      </c>
      <c r="BG68">
        <v>40879.684548611112</v>
      </c>
    </row>
    <row r="69" spans="1:59" ht="16" customHeight="1" x14ac:dyDescent="0.2">
      <c r="A69">
        <v>73</v>
      </c>
      <c r="C69" t="s">
        <v>1318</v>
      </c>
      <c r="D69" t="s">
        <v>431</v>
      </c>
      <c r="E69" t="str">
        <f t="shared" si="1"/>
        <v>z0037463</v>
      </c>
      <c r="F69" t="s">
        <v>648</v>
      </c>
      <c r="G69" s="6" t="s">
        <v>1319</v>
      </c>
      <c r="H69" t="s">
        <v>741</v>
      </c>
      <c r="I69" t="s">
        <v>1155</v>
      </c>
      <c r="J69" t="s">
        <v>1162</v>
      </c>
      <c r="K69">
        <v>20999</v>
      </c>
      <c r="L69" t="s">
        <v>680</v>
      </c>
      <c r="N69">
        <v>10859</v>
      </c>
      <c r="O69">
        <v>37463</v>
      </c>
      <c r="V69" t="s">
        <v>943</v>
      </c>
      <c r="W69" s="1">
        <v>37787</v>
      </c>
      <c r="X69">
        <v>2003</v>
      </c>
      <c r="Y69">
        <v>6</v>
      </c>
      <c r="Z69">
        <v>15</v>
      </c>
      <c r="AA69" t="s">
        <v>936</v>
      </c>
      <c r="AC69" t="s">
        <v>1308</v>
      </c>
      <c r="AD69" t="s">
        <v>1308</v>
      </c>
      <c r="AE69" t="s">
        <v>1309</v>
      </c>
      <c r="AF69" t="s">
        <v>944</v>
      </c>
      <c r="AJ69" t="s">
        <v>740</v>
      </c>
      <c r="AK69" t="s">
        <v>741</v>
      </c>
      <c r="AL69" t="s">
        <v>686</v>
      </c>
      <c r="AM69" t="s">
        <v>687</v>
      </c>
      <c r="AN69" t="s">
        <v>687</v>
      </c>
      <c r="AR69" t="s">
        <v>688</v>
      </c>
      <c r="AS69" t="s">
        <v>922</v>
      </c>
      <c r="AT69">
        <v>59.15</v>
      </c>
      <c r="BD69" t="s">
        <v>928</v>
      </c>
      <c r="BE69">
        <v>40862.384016203701</v>
      </c>
      <c r="BF69" t="s">
        <v>923</v>
      </c>
    </row>
    <row r="70" spans="1:59" ht="16" customHeight="1" x14ac:dyDescent="0.2">
      <c r="A70">
        <v>74</v>
      </c>
      <c r="C70" t="s">
        <v>1320</v>
      </c>
      <c r="D70" t="s">
        <v>432</v>
      </c>
      <c r="E70" t="str">
        <f t="shared" si="1"/>
        <v>z0037464</v>
      </c>
      <c r="F70" t="s">
        <v>648</v>
      </c>
      <c r="G70" s="6" t="s">
        <v>1321</v>
      </c>
      <c r="H70" t="s">
        <v>741</v>
      </c>
      <c r="I70" t="s">
        <v>1155</v>
      </c>
      <c r="J70" t="s">
        <v>1162</v>
      </c>
      <c r="K70">
        <v>21000</v>
      </c>
      <c r="L70" t="s">
        <v>680</v>
      </c>
      <c r="N70">
        <v>10860</v>
      </c>
      <c r="O70">
        <v>37464</v>
      </c>
      <c r="V70" t="s">
        <v>946</v>
      </c>
      <c r="W70" s="1">
        <v>37792</v>
      </c>
      <c r="X70">
        <v>2003</v>
      </c>
      <c r="Y70">
        <v>6</v>
      </c>
      <c r="Z70">
        <v>20</v>
      </c>
      <c r="AA70" t="s">
        <v>936</v>
      </c>
      <c r="AC70" t="s">
        <v>1308</v>
      </c>
      <c r="AD70" t="s">
        <v>1308</v>
      </c>
      <c r="AE70" t="s">
        <v>1309</v>
      </c>
      <c r="AF70" t="s">
        <v>944</v>
      </c>
      <c r="AJ70" t="s">
        <v>740</v>
      </c>
      <c r="AK70" t="s">
        <v>741</v>
      </c>
      <c r="AL70" t="s">
        <v>686</v>
      </c>
      <c r="AM70" t="s">
        <v>687</v>
      </c>
      <c r="AN70" t="s">
        <v>687</v>
      </c>
      <c r="AR70" t="s">
        <v>688</v>
      </c>
      <c r="AS70" t="s">
        <v>922</v>
      </c>
      <c r="AT70">
        <v>96.65</v>
      </c>
      <c r="BD70" t="s">
        <v>928</v>
      </c>
      <c r="BE70">
        <v>40862.384016203701</v>
      </c>
      <c r="BF70" t="s">
        <v>923</v>
      </c>
    </row>
    <row r="71" spans="1:59" ht="16" customHeight="1" x14ac:dyDescent="0.2">
      <c r="A71">
        <v>75</v>
      </c>
      <c r="C71" t="s">
        <v>1322</v>
      </c>
      <c r="D71" t="s">
        <v>433</v>
      </c>
      <c r="E71" t="str">
        <f t="shared" si="1"/>
        <v>z0037465</v>
      </c>
      <c r="F71" t="s">
        <v>648</v>
      </c>
      <c r="G71" s="6" t="s">
        <v>1323</v>
      </c>
      <c r="H71" t="s">
        <v>741</v>
      </c>
      <c r="I71" t="s">
        <v>1155</v>
      </c>
      <c r="J71" t="s">
        <v>1162</v>
      </c>
      <c r="K71">
        <v>21001</v>
      </c>
      <c r="L71" t="s">
        <v>680</v>
      </c>
      <c r="N71">
        <v>10861</v>
      </c>
      <c r="O71">
        <v>37465</v>
      </c>
      <c r="V71" t="s">
        <v>945</v>
      </c>
      <c r="W71" s="1">
        <v>37787</v>
      </c>
      <c r="X71">
        <v>2003</v>
      </c>
      <c r="Y71">
        <v>6</v>
      </c>
      <c r="Z71">
        <v>15</v>
      </c>
      <c r="AA71" t="s">
        <v>936</v>
      </c>
      <c r="AC71" t="s">
        <v>1308</v>
      </c>
      <c r="AD71" t="s">
        <v>1308</v>
      </c>
      <c r="AE71" t="s">
        <v>1309</v>
      </c>
      <c r="AF71" t="s">
        <v>944</v>
      </c>
      <c r="AJ71" t="s">
        <v>740</v>
      </c>
      <c r="AK71" t="s">
        <v>741</v>
      </c>
      <c r="AL71" t="s">
        <v>686</v>
      </c>
      <c r="AM71" t="s">
        <v>687</v>
      </c>
      <c r="AN71" t="s">
        <v>687</v>
      </c>
      <c r="AR71" t="s">
        <v>688</v>
      </c>
      <c r="AS71" t="s">
        <v>922</v>
      </c>
      <c r="AT71">
        <v>597.65</v>
      </c>
      <c r="BD71" t="s">
        <v>928</v>
      </c>
      <c r="BE71">
        <v>40862.384016203701</v>
      </c>
      <c r="BF71" t="s">
        <v>923</v>
      </c>
    </row>
    <row r="72" spans="1:59" ht="16" customHeight="1" x14ac:dyDescent="0.2">
      <c r="A72">
        <v>79</v>
      </c>
      <c r="C72" t="s">
        <v>1330</v>
      </c>
      <c r="D72" t="s">
        <v>437</v>
      </c>
      <c r="E72" t="str">
        <f t="shared" si="1"/>
        <v>z0037469</v>
      </c>
      <c r="F72" t="s">
        <v>648</v>
      </c>
      <c r="G72" s="6" t="s">
        <v>1331</v>
      </c>
      <c r="H72" t="s">
        <v>741</v>
      </c>
      <c r="I72" t="s">
        <v>1155</v>
      </c>
      <c r="J72" t="s">
        <v>1162</v>
      </c>
      <c r="K72">
        <v>21005</v>
      </c>
      <c r="L72" t="s">
        <v>680</v>
      </c>
      <c r="N72">
        <v>10865</v>
      </c>
      <c r="O72">
        <v>37469</v>
      </c>
      <c r="V72" t="s">
        <v>938</v>
      </c>
      <c r="W72" s="1">
        <v>37774</v>
      </c>
      <c r="X72">
        <v>2003</v>
      </c>
      <c r="Y72">
        <v>6</v>
      </c>
      <c r="Z72">
        <v>2</v>
      </c>
      <c r="AA72" t="s">
        <v>936</v>
      </c>
      <c r="AC72" t="s">
        <v>1308</v>
      </c>
      <c r="AD72" t="s">
        <v>1308</v>
      </c>
      <c r="AE72" t="s">
        <v>1309</v>
      </c>
      <c r="AF72" t="s">
        <v>939</v>
      </c>
      <c r="AJ72" t="s">
        <v>740</v>
      </c>
      <c r="AK72" t="s">
        <v>741</v>
      </c>
      <c r="AL72" t="s">
        <v>686</v>
      </c>
      <c r="AM72" t="s">
        <v>687</v>
      </c>
      <c r="AN72" t="s">
        <v>687</v>
      </c>
      <c r="AR72" t="s">
        <v>688</v>
      </c>
      <c r="AS72" t="s">
        <v>922</v>
      </c>
      <c r="AT72">
        <v>533.75</v>
      </c>
      <c r="BD72" t="s">
        <v>928</v>
      </c>
      <c r="BE72">
        <v>44490.683263888888</v>
      </c>
      <c r="BF72" t="s">
        <v>923</v>
      </c>
    </row>
    <row r="73" spans="1:59" ht="16" customHeight="1" x14ac:dyDescent="0.2">
      <c r="A73">
        <v>80</v>
      </c>
      <c r="C73" t="s">
        <v>1332</v>
      </c>
      <c r="D73" t="s">
        <v>439</v>
      </c>
      <c r="E73" t="str">
        <f t="shared" si="1"/>
        <v>z0037471</v>
      </c>
      <c r="F73" t="s">
        <v>648</v>
      </c>
      <c r="G73" s="6" t="s">
        <v>1333</v>
      </c>
      <c r="H73" t="s">
        <v>741</v>
      </c>
      <c r="I73" t="s">
        <v>1155</v>
      </c>
      <c r="J73" t="s">
        <v>1162</v>
      </c>
      <c r="K73">
        <v>21007</v>
      </c>
      <c r="L73" t="s">
        <v>680</v>
      </c>
      <c r="N73">
        <v>10867</v>
      </c>
      <c r="O73">
        <v>37471</v>
      </c>
      <c r="V73" t="s">
        <v>941</v>
      </c>
      <c r="W73" s="1">
        <v>37782</v>
      </c>
      <c r="X73">
        <v>2003</v>
      </c>
      <c r="Y73">
        <v>6</v>
      </c>
      <c r="Z73">
        <v>10</v>
      </c>
      <c r="AA73" t="s">
        <v>936</v>
      </c>
      <c r="AC73" t="s">
        <v>1308</v>
      </c>
      <c r="AD73" t="s">
        <v>1308</v>
      </c>
      <c r="AE73" t="s">
        <v>1309</v>
      </c>
      <c r="AF73" t="s">
        <v>939</v>
      </c>
      <c r="AJ73" t="s">
        <v>740</v>
      </c>
      <c r="AK73" t="s">
        <v>741</v>
      </c>
      <c r="AL73" t="s">
        <v>686</v>
      </c>
      <c r="AM73" t="s">
        <v>687</v>
      </c>
      <c r="AN73" t="s">
        <v>687</v>
      </c>
      <c r="AR73" t="s">
        <v>688</v>
      </c>
      <c r="AS73" t="s">
        <v>922</v>
      </c>
      <c r="AT73">
        <v>180.85</v>
      </c>
      <c r="BD73" t="s">
        <v>928</v>
      </c>
      <c r="BE73">
        <v>44490.683263888888</v>
      </c>
      <c r="BF73" t="s">
        <v>923</v>
      </c>
    </row>
    <row r="74" spans="1:59" ht="16" customHeight="1" x14ac:dyDescent="0.2">
      <c r="A74">
        <v>207</v>
      </c>
      <c r="C74" t="s">
        <v>1594</v>
      </c>
      <c r="D74" t="s">
        <v>438</v>
      </c>
      <c r="E74" t="str">
        <f t="shared" si="1"/>
        <v>z0037469</v>
      </c>
      <c r="F74" t="s">
        <v>648</v>
      </c>
      <c r="G74" s="6" t="s">
        <v>1595</v>
      </c>
      <c r="H74" t="s">
        <v>741</v>
      </c>
      <c r="I74" t="s">
        <v>1155</v>
      </c>
      <c r="J74" t="s">
        <v>1162</v>
      </c>
      <c r="K74">
        <v>21005</v>
      </c>
      <c r="L74" t="s">
        <v>680</v>
      </c>
      <c r="N74">
        <v>10865</v>
      </c>
      <c r="O74">
        <v>37469</v>
      </c>
      <c r="V74" t="s">
        <v>938</v>
      </c>
      <c r="W74" s="1">
        <v>37774</v>
      </c>
      <c r="X74">
        <v>2003</v>
      </c>
      <c r="Y74">
        <v>6</v>
      </c>
      <c r="Z74">
        <v>2</v>
      </c>
      <c r="AA74" t="s">
        <v>936</v>
      </c>
      <c r="AC74" t="s">
        <v>1308</v>
      </c>
      <c r="AD74" t="s">
        <v>1308</v>
      </c>
      <c r="AE74" t="s">
        <v>1309</v>
      </c>
      <c r="AF74" t="s">
        <v>939</v>
      </c>
      <c r="AJ74" t="s">
        <v>740</v>
      </c>
      <c r="AK74" t="s">
        <v>741</v>
      </c>
      <c r="AL74" t="s">
        <v>686</v>
      </c>
      <c r="AM74" t="s">
        <v>687</v>
      </c>
      <c r="AN74" t="s">
        <v>687</v>
      </c>
      <c r="AR74" t="s">
        <v>688</v>
      </c>
      <c r="AS74" t="s">
        <v>922</v>
      </c>
      <c r="AT74">
        <v>533.75</v>
      </c>
      <c r="BD74" t="s">
        <v>928</v>
      </c>
      <c r="BE74">
        <v>44490.683263888888</v>
      </c>
      <c r="BF74" t="s">
        <v>923</v>
      </c>
    </row>
    <row r="75" spans="1:59" ht="16" customHeight="1" x14ac:dyDescent="0.2">
      <c r="A75">
        <v>131</v>
      </c>
      <c r="C75" t="s">
        <v>1438</v>
      </c>
      <c r="D75" t="s">
        <v>581</v>
      </c>
      <c r="E75" t="str">
        <f t="shared" si="1"/>
        <v>z0134074</v>
      </c>
      <c r="F75" t="s">
        <v>648</v>
      </c>
      <c r="G75" s="6" t="s">
        <v>1439</v>
      </c>
      <c r="H75" t="s">
        <v>741</v>
      </c>
      <c r="I75" t="s">
        <v>1155</v>
      </c>
      <c r="J75" t="s">
        <v>1162</v>
      </c>
      <c r="K75">
        <v>76292</v>
      </c>
      <c r="L75" t="s">
        <v>680</v>
      </c>
      <c r="N75">
        <v>106703</v>
      </c>
      <c r="O75">
        <v>134074</v>
      </c>
      <c r="V75" t="s">
        <v>1029</v>
      </c>
      <c r="W75" s="1">
        <v>40740</v>
      </c>
      <c r="X75">
        <v>2011</v>
      </c>
      <c r="Y75">
        <v>7</v>
      </c>
      <c r="Z75">
        <v>16</v>
      </c>
      <c r="AA75" t="s">
        <v>1017</v>
      </c>
      <c r="AC75" t="s">
        <v>1308</v>
      </c>
      <c r="AD75" t="s">
        <v>1308</v>
      </c>
      <c r="AE75" t="s">
        <v>1440</v>
      </c>
      <c r="AF75" t="s">
        <v>1030</v>
      </c>
      <c r="AJ75" t="s">
        <v>740</v>
      </c>
      <c r="AK75" t="s">
        <v>741</v>
      </c>
      <c r="AL75" t="s">
        <v>686</v>
      </c>
      <c r="AM75" t="s">
        <v>687</v>
      </c>
      <c r="AN75" t="s">
        <v>687</v>
      </c>
      <c r="AQ75" t="s">
        <v>863</v>
      </c>
      <c r="AX75">
        <v>153</v>
      </c>
      <c r="AY75">
        <v>108.2</v>
      </c>
      <c r="BC75" t="s">
        <v>1031</v>
      </c>
      <c r="BD75" t="s">
        <v>715</v>
      </c>
      <c r="BE75">
        <v>44272.618495370371</v>
      </c>
      <c r="BF75" t="s">
        <v>971</v>
      </c>
      <c r="BG75">
        <v>40879.684525462966</v>
      </c>
    </row>
    <row r="76" spans="1:59" ht="16" customHeight="1" x14ac:dyDescent="0.2">
      <c r="A76">
        <v>195</v>
      </c>
      <c r="C76" t="s">
        <v>1570</v>
      </c>
      <c r="D76" t="s">
        <v>582</v>
      </c>
      <c r="E76" t="str">
        <f t="shared" si="1"/>
        <v>z0134074</v>
      </c>
      <c r="F76" t="s">
        <v>648</v>
      </c>
      <c r="G76" s="6" t="s">
        <v>1571</v>
      </c>
      <c r="H76" t="s">
        <v>741</v>
      </c>
      <c r="I76" t="s">
        <v>1155</v>
      </c>
      <c r="J76" t="s">
        <v>1156</v>
      </c>
      <c r="K76">
        <v>76292</v>
      </c>
      <c r="L76" t="s">
        <v>680</v>
      </c>
      <c r="N76">
        <v>106703</v>
      </c>
      <c r="O76">
        <v>134074</v>
      </c>
      <c r="V76" t="s">
        <v>1029</v>
      </c>
      <c r="W76" s="1">
        <v>40740</v>
      </c>
      <c r="X76">
        <v>2011</v>
      </c>
      <c r="Y76">
        <v>7</v>
      </c>
      <c r="Z76">
        <v>16</v>
      </c>
      <c r="AA76" t="s">
        <v>1017</v>
      </c>
      <c r="AC76" t="s">
        <v>1308</v>
      </c>
      <c r="AD76" t="s">
        <v>1308</v>
      </c>
      <c r="AE76" t="s">
        <v>1440</v>
      </c>
      <c r="AF76" t="s">
        <v>1030</v>
      </c>
      <c r="AJ76" t="s">
        <v>740</v>
      </c>
      <c r="AK76" t="s">
        <v>741</v>
      </c>
      <c r="AL76" t="s">
        <v>686</v>
      </c>
      <c r="AM76" t="s">
        <v>687</v>
      </c>
      <c r="AN76" t="s">
        <v>687</v>
      </c>
      <c r="AQ76" t="s">
        <v>863</v>
      </c>
      <c r="AX76">
        <v>153</v>
      </c>
      <c r="AY76">
        <v>108.2</v>
      </c>
      <c r="BC76" t="s">
        <v>1031</v>
      </c>
      <c r="BD76" t="s">
        <v>715</v>
      </c>
      <c r="BE76">
        <v>44272.618495370371</v>
      </c>
      <c r="BF76" t="s">
        <v>971</v>
      </c>
      <c r="BG76">
        <v>40879.684525462966</v>
      </c>
    </row>
    <row r="77" spans="1:59" ht="16" customHeight="1" x14ac:dyDescent="0.2">
      <c r="B77" s="3" t="s">
        <v>736</v>
      </c>
      <c r="C77" s="3" t="s">
        <v>139</v>
      </c>
      <c r="D77" s="3" t="s">
        <v>463</v>
      </c>
      <c r="E77" t="str">
        <f t="shared" si="1"/>
        <v>z0062632</v>
      </c>
      <c r="F77" s="3" t="s">
        <v>648</v>
      </c>
      <c r="G77" s="3"/>
      <c r="H77" s="3"/>
      <c r="I77" s="3" t="s">
        <v>1638</v>
      </c>
      <c r="J77" s="3"/>
      <c r="K77" s="3"/>
      <c r="L77" s="3" t="s">
        <v>680</v>
      </c>
      <c r="M77" s="3" t="s">
        <v>681</v>
      </c>
      <c r="N77" s="4">
        <v>23689</v>
      </c>
      <c r="O77" s="4">
        <v>62632</v>
      </c>
      <c r="P77" s="4">
        <v>1</v>
      </c>
      <c r="Q77" s="3" t="s">
        <v>690</v>
      </c>
      <c r="R77" s="4">
        <v>30</v>
      </c>
      <c r="S77" s="4">
        <v>1</v>
      </c>
      <c r="T77" s="4">
        <v>0</v>
      </c>
      <c r="U77" s="3"/>
      <c r="V77" s="3" t="s">
        <v>737</v>
      </c>
      <c r="W77" s="5">
        <v>39057</v>
      </c>
      <c r="X77" s="4">
        <v>2006</v>
      </c>
      <c r="Y77" s="4">
        <v>12</v>
      </c>
      <c r="Z77" s="4">
        <v>6</v>
      </c>
      <c r="AA77" s="3" t="s">
        <v>738</v>
      </c>
      <c r="AC77" t="s">
        <v>1364</v>
      </c>
      <c r="AD77" t="s">
        <v>1364</v>
      </c>
      <c r="AE77" t="s">
        <v>1365</v>
      </c>
      <c r="AF77" s="3" t="s">
        <v>739</v>
      </c>
      <c r="AG77" s="3"/>
      <c r="AH77" s="3"/>
      <c r="AI77" s="3"/>
      <c r="AJ77" s="3" t="s">
        <v>740</v>
      </c>
      <c r="AK77" s="3" t="s">
        <v>741</v>
      </c>
      <c r="AL77" s="3" t="s">
        <v>686</v>
      </c>
      <c r="AM77" s="3" t="s">
        <v>687</v>
      </c>
      <c r="AN77" s="3" t="s">
        <v>687</v>
      </c>
      <c r="AO77" s="3"/>
      <c r="AP77" s="3"/>
      <c r="AQ77" s="3"/>
      <c r="AR77" s="3"/>
      <c r="AS77" s="3"/>
      <c r="AT77" s="3"/>
      <c r="AU77" s="3"/>
      <c r="AV77" s="3"/>
      <c r="AW77" s="3"/>
      <c r="AX77" s="3"/>
      <c r="AY77" s="3"/>
      <c r="AZ77" s="3"/>
      <c r="BA77" s="3"/>
      <c r="BB77" s="3"/>
      <c r="BC77" s="3" t="s">
        <v>742</v>
      </c>
      <c r="BD77" s="3" t="s">
        <v>715</v>
      </c>
    </row>
    <row r="78" spans="1:59" ht="16" customHeight="1" x14ac:dyDescent="0.2">
      <c r="B78" s="3" t="s">
        <v>743</v>
      </c>
      <c r="C78" s="3" t="s">
        <v>147</v>
      </c>
      <c r="D78" s="3" t="s">
        <v>471</v>
      </c>
      <c r="E78" t="str">
        <f t="shared" si="1"/>
        <v>z0062684</v>
      </c>
      <c r="F78" s="3" t="s">
        <v>648</v>
      </c>
      <c r="G78" s="3"/>
      <c r="H78" s="3"/>
      <c r="I78" s="3" t="s">
        <v>1638</v>
      </c>
      <c r="J78" s="3"/>
      <c r="K78" s="3"/>
      <c r="L78" s="3" t="s">
        <v>680</v>
      </c>
      <c r="M78" s="3" t="s">
        <v>681</v>
      </c>
      <c r="N78" s="4">
        <v>23741</v>
      </c>
      <c r="O78" s="4">
        <v>62684</v>
      </c>
      <c r="P78" s="4">
        <v>1</v>
      </c>
      <c r="Q78" s="3" t="s">
        <v>690</v>
      </c>
      <c r="R78" s="4">
        <v>32</v>
      </c>
      <c r="S78" s="4">
        <v>1</v>
      </c>
      <c r="T78" s="4">
        <v>0</v>
      </c>
      <c r="U78" s="3"/>
      <c r="V78" s="3" t="s">
        <v>744</v>
      </c>
      <c r="W78" s="5">
        <v>39053</v>
      </c>
      <c r="X78" s="4">
        <v>2006</v>
      </c>
      <c r="Y78" s="4">
        <v>12</v>
      </c>
      <c r="Z78" s="4">
        <v>2</v>
      </c>
      <c r="AA78" s="3" t="s">
        <v>738</v>
      </c>
      <c r="AC78" t="s">
        <v>1364</v>
      </c>
      <c r="AD78" t="s">
        <v>1364</v>
      </c>
      <c r="AE78" t="s">
        <v>1365</v>
      </c>
      <c r="AF78" s="3" t="s">
        <v>739</v>
      </c>
      <c r="AG78" s="3"/>
      <c r="AH78" s="3"/>
      <c r="AI78" s="3"/>
      <c r="AJ78" s="3" t="s">
        <v>740</v>
      </c>
      <c r="AK78" s="3" t="s">
        <v>741</v>
      </c>
      <c r="AL78" s="3" t="s">
        <v>686</v>
      </c>
      <c r="AM78" s="3" t="s">
        <v>687</v>
      </c>
      <c r="AN78" s="3" t="s">
        <v>687</v>
      </c>
      <c r="AO78" s="3"/>
      <c r="AP78" s="3"/>
      <c r="AQ78" s="3"/>
      <c r="AR78" s="3"/>
      <c r="AS78" s="3"/>
      <c r="AT78" s="3"/>
      <c r="AU78" s="3"/>
      <c r="AV78" s="3"/>
      <c r="AW78" s="3"/>
      <c r="AX78" s="3"/>
      <c r="AY78" s="3"/>
      <c r="AZ78" s="3"/>
      <c r="BA78" s="3"/>
      <c r="BB78" s="3"/>
      <c r="BC78" s="3" t="s">
        <v>742</v>
      </c>
      <c r="BD78" s="3" t="s">
        <v>715</v>
      </c>
    </row>
    <row r="79" spans="1:59" ht="16" customHeight="1" x14ac:dyDescent="0.2">
      <c r="B79" s="3" t="s">
        <v>745</v>
      </c>
      <c r="C79" s="3" t="s">
        <v>148</v>
      </c>
      <c r="D79" s="3" t="s">
        <v>472</v>
      </c>
      <c r="E79" t="str">
        <f t="shared" si="1"/>
        <v>z0062686</v>
      </c>
      <c r="F79" s="3" t="s">
        <v>648</v>
      </c>
      <c r="G79" s="3"/>
      <c r="H79" s="3"/>
      <c r="I79" s="3" t="s">
        <v>1638</v>
      </c>
      <c r="J79" s="3"/>
      <c r="K79" s="3"/>
      <c r="L79" s="3" t="s">
        <v>680</v>
      </c>
      <c r="M79" s="3" t="s">
        <v>681</v>
      </c>
      <c r="N79" s="4">
        <v>23743</v>
      </c>
      <c r="O79" s="4">
        <v>62686</v>
      </c>
      <c r="P79" s="4">
        <v>1</v>
      </c>
      <c r="Q79" s="3" t="s">
        <v>690</v>
      </c>
      <c r="R79" s="4">
        <v>32</v>
      </c>
      <c r="S79" s="4">
        <v>1</v>
      </c>
      <c r="T79" s="4">
        <v>0</v>
      </c>
      <c r="U79" s="3"/>
      <c r="V79" s="3" t="s">
        <v>746</v>
      </c>
      <c r="W79" s="5">
        <v>39059</v>
      </c>
      <c r="X79" s="4">
        <v>2006</v>
      </c>
      <c r="Y79" s="4">
        <v>12</v>
      </c>
      <c r="Z79" s="4">
        <v>8</v>
      </c>
      <c r="AA79" s="3" t="s">
        <v>738</v>
      </c>
      <c r="AC79" t="s">
        <v>1364</v>
      </c>
      <c r="AD79" t="s">
        <v>1364</v>
      </c>
      <c r="AE79" t="s">
        <v>1365</v>
      </c>
      <c r="AF79" s="3" t="s">
        <v>739</v>
      </c>
      <c r="AG79" s="3"/>
      <c r="AH79" s="3"/>
      <c r="AI79" s="3"/>
      <c r="AJ79" s="3" t="s">
        <v>740</v>
      </c>
      <c r="AK79" s="3" t="s">
        <v>741</v>
      </c>
      <c r="AL79" s="3" t="s">
        <v>686</v>
      </c>
      <c r="AM79" s="3" t="s">
        <v>687</v>
      </c>
      <c r="AN79" s="3" t="s">
        <v>687</v>
      </c>
      <c r="AO79" s="3"/>
      <c r="AP79" s="3"/>
      <c r="AQ79" s="3"/>
      <c r="AR79" s="3"/>
      <c r="AS79" s="3"/>
      <c r="AT79" s="3"/>
      <c r="AU79" s="3"/>
      <c r="AV79" s="3"/>
      <c r="AW79" s="3"/>
      <c r="AX79" s="3"/>
      <c r="AY79" s="3"/>
      <c r="AZ79" s="3"/>
      <c r="BA79" s="3"/>
      <c r="BB79" s="3"/>
      <c r="BC79" s="3" t="s">
        <v>742</v>
      </c>
      <c r="BD79" s="3" t="s">
        <v>715</v>
      </c>
    </row>
    <row r="80" spans="1:59" ht="16" customHeight="1" x14ac:dyDescent="0.2">
      <c r="B80" s="3" t="s">
        <v>747</v>
      </c>
      <c r="C80" s="3" t="s">
        <v>151</v>
      </c>
      <c r="D80" s="3" t="s">
        <v>475</v>
      </c>
      <c r="E80" t="str">
        <f t="shared" si="1"/>
        <v>z0062690</v>
      </c>
      <c r="F80" s="3" t="s">
        <v>648</v>
      </c>
      <c r="G80" s="3"/>
      <c r="H80" s="3"/>
      <c r="I80" s="3" t="s">
        <v>1638</v>
      </c>
      <c r="J80" s="3"/>
      <c r="K80" s="3"/>
      <c r="L80" s="3" t="s">
        <v>680</v>
      </c>
      <c r="M80" s="3" t="s">
        <v>681</v>
      </c>
      <c r="N80" s="4">
        <v>23747</v>
      </c>
      <c r="O80" s="4">
        <v>62690</v>
      </c>
      <c r="P80" s="4">
        <v>1</v>
      </c>
      <c r="Q80" s="3" t="s">
        <v>690</v>
      </c>
      <c r="R80" s="4">
        <v>32</v>
      </c>
      <c r="S80" s="4">
        <v>1</v>
      </c>
      <c r="T80" s="4">
        <v>0</v>
      </c>
      <c r="U80" s="3"/>
      <c r="V80" s="3" t="s">
        <v>748</v>
      </c>
      <c r="W80" s="5">
        <v>38697</v>
      </c>
      <c r="X80" s="4">
        <v>2005</v>
      </c>
      <c r="Y80" s="4">
        <v>12</v>
      </c>
      <c r="Z80" s="4">
        <v>11</v>
      </c>
      <c r="AA80" s="3" t="s">
        <v>738</v>
      </c>
      <c r="AC80" t="s">
        <v>1364</v>
      </c>
      <c r="AD80" t="s">
        <v>1364</v>
      </c>
      <c r="AE80" t="s">
        <v>1365</v>
      </c>
      <c r="AF80" s="3" t="s">
        <v>739</v>
      </c>
      <c r="AG80" s="3"/>
      <c r="AH80" s="3"/>
      <c r="AI80" s="3"/>
      <c r="AJ80" s="3" t="s">
        <v>740</v>
      </c>
      <c r="AK80" s="3" t="s">
        <v>741</v>
      </c>
      <c r="AL80" s="3" t="s">
        <v>686</v>
      </c>
      <c r="AM80" s="3" t="s">
        <v>687</v>
      </c>
      <c r="AN80" s="3" t="s">
        <v>687</v>
      </c>
      <c r="AO80" s="3"/>
      <c r="AP80" s="3"/>
      <c r="AQ80" s="3"/>
      <c r="AR80" s="3"/>
      <c r="AS80" s="3"/>
      <c r="AT80" s="3"/>
      <c r="AU80" s="3"/>
      <c r="AV80" s="3"/>
      <c r="AW80" s="3"/>
      <c r="AX80" s="3"/>
      <c r="AY80" s="3"/>
      <c r="AZ80" s="3"/>
      <c r="BA80" s="3"/>
      <c r="BB80" s="3"/>
      <c r="BC80" s="3" t="s">
        <v>742</v>
      </c>
      <c r="BD80" s="3" t="s">
        <v>715</v>
      </c>
    </row>
    <row r="81" spans="2:56" ht="16" customHeight="1" x14ac:dyDescent="0.2">
      <c r="B81" s="3" t="s">
        <v>749</v>
      </c>
      <c r="C81" s="3" t="s">
        <v>152</v>
      </c>
      <c r="D81" s="3" t="s">
        <v>476</v>
      </c>
      <c r="E81" t="str">
        <f t="shared" si="1"/>
        <v>z0062691</v>
      </c>
      <c r="F81" s="3" t="s">
        <v>648</v>
      </c>
      <c r="G81" s="3"/>
      <c r="H81" s="3"/>
      <c r="I81" s="3" t="s">
        <v>1638</v>
      </c>
      <c r="J81" s="3"/>
      <c r="K81" s="3"/>
      <c r="L81" s="3" t="s">
        <v>680</v>
      </c>
      <c r="M81" s="3" t="s">
        <v>681</v>
      </c>
      <c r="N81" s="4">
        <v>23748</v>
      </c>
      <c r="O81" s="4">
        <v>62691</v>
      </c>
      <c r="P81" s="4">
        <v>1</v>
      </c>
      <c r="Q81" s="3" t="s">
        <v>690</v>
      </c>
      <c r="R81" s="4">
        <v>32</v>
      </c>
      <c r="S81" s="4">
        <v>1</v>
      </c>
      <c r="T81" s="4">
        <v>0</v>
      </c>
      <c r="U81" s="3"/>
      <c r="V81" s="3" t="s">
        <v>750</v>
      </c>
      <c r="W81" s="5">
        <v>39103</v>
      </c>
      <c r="X81" s="4">
        <v>2007</v>
      </c>
      <c r="Y81" s="4">
        <v>1</v>
      </c>
      <c r="Z81" s="4">
        <v>21</v>
      </c>
      <c r="AA81" s="3" t="s">
        <v>738</v>
      </c>
      <c r="AC81" t="s">
        <v>1364</v>
      </c>
      <c r="AD81" t="s">
        <v>1364</v>
      </c>
      <c r="AE81" t="s">
        <v>1365</v>
      </c>
      <c r="AF81" s="3" t="s">
        <v>739</v>
      </c>
      <c r="AG81" s="3"/>
      <c r="AH81" s="3"/>
      <c r="AI81" s="3"/>
      <c r="AJ81" s="3" t="s">
        <v>740</v>
      </c>
      <c r="AK81" s="3" t="s">
        <v>741</v>
      </c>
      <c r="AL81" s="3" t="s">
        <v>686</v>
      </c>
      <c r="AM81" s="3" t="s">
        <v>687</v>
      </c>
      <c r="AN81" s="3" t="s">
        <v>687</v>
      </c>
      <c r="AO81" s="3"/>
      <c r="AP81" s="3"/>
      <c r="AQ81" s="3"/>
      <c r="AR81" s="3"/>
      <c r="AS81" s="3"/>
      <c r="AT81" s="3"/>
      <c r="AU81" s="3"/>
      <c r="AV81" s="3"/>
      <c r="AW81" s="3"/>
      <c r="AX81" s="3"/>
      <c r="AY81" s="3"/>
      <c r="AZ81" s="3"/>
      <c r="BA81" s="3"/>
      <c r="BB81" s="3"/>
      <c r="BC81" s="3" t="s">
        <v>742</v>
      </c>
      <c r="BD81" s="3" t="s">
        <v>715</v>
      </c>
    </row>
    <row r="82" spans="2:56" ht="16" customHeight="1" x14ac:dyDescent="0.2">
      <c r="B82" s="3" t="s">
        <v>751</v>
      </c>
      <c r="C82" s="3" t="s">
        <v>153</v>
      </c>
      <c r="D82" s="3" t="s">
        <v>477</v>
      </c>
      <c r="E82" t="str">
        <f t="shared" si="1"/>
        <v>z0062692</v>
      </c>
      <c r="F82" s="3" t="s">
        <v>648</v>
      </c>
      <c r="G82" s="3"/>
      <c r="H82" s="3"/>
      <c r="I82" s="3" t="s">
        <v>1638</v>
      </c>
      <c r="J82" s="3"/>
      <c r="K82" s="3"/>
      <c r="L82" s="3" t="s">
        <v>680</v>
      </c>
      <c r="M82" s="3" t="s">
        <v>681</v>
      </c>
      <c r="N82" s="4">
        <v>23749</v>
      </c>
      <c r="O82" s="4">
        <v>62692</v>
      </c>
      <c r="P82" s="4">
        <v>1</v>
      </c>
      <c r="Q82" s="3" t="s">
        <v>690</v>
      </c>
      <c r="R82" s="4">
        <v>32</v>
      </c>
      <c r="S82" s="4">
        <v>1</v>
      </c>
      <c r="T82" s="4">
        <v>0</v>
      </c>
      <c r="U82" s="3"/>
      <c r="V82" s="3" t="s">
        <v>752</v>
      </c>
      <c r="W82" s="5">
        <v>39095</v>
      </c>
      <c r="X82" s="4">
        <v>2007</v>
      </c>
      <c r="Y82" s="4">
        <v>1</v>
      </c>
      <c r="Z82" s="4">
        <v>13</v>
      </c>
      <c r="AA82" s="3" t="s">
        <v>738</v>
      </c>
      <c r="AC82" t="s">
        <v>1364</v>
      </c>
      <c r="AD82" t="s">
        <v>1364</v>
      </c>
      <c r="AE82" t="s">
        <v>1365</v>
      </c>
      <c r="AF82" s="3" t="s">
        <v>739</v>
      </c>
      <c r="AG82" s="3"/>
      <c r="AH82" s="3"/>
      <c r="AI82" s="3"/>
      <c r="AJ82" s="3" t="s">
        <v>740</v>
      </c>
      <c r="AK82" s="3" t="s">
        <v>741</v>
      </c>
      <c r="AL82" s="3" t="s">
        <v>686</v>
      </c>
      <c r="AM82" s="3" t="s">
        <v>687</v>
      </c>
      <c r="AN82" s="3" t="s">
        <v>687</v>
      </c>
      <c r="AO82" s="3"/>
      <c r="AP82" s="3"/>
      <c r="AQ82" s="3"/>
      <c r="AR82" s="3"/>
      <c r="AS82" s="3"/>
      <c r="AT82" s="3"/>
      <c r="AU82" s="3"/>
      <c r="AV82" s="3"/>
      <c r="AW82" s="3"/>
      <c r="AX82" s="3"/>
      <c r="AY82" s="3"/>
      <c r="AZ82" s="3"/>
      <c r="BA82" s="3"/>
      <c r="BB82" s="3"/>
      <c r="BC82" s="3" t="s">
        <v>742</v>
      </c>
      <c r="BD82" s="3" t="s">
        <v>715</v>
      </c>
    </row>
    <row r="83" spans="2:56" ht="16" customHeight="1" x14ac:dyDescent="0.2">
      <c r="B83" s="3" t="s">
        <v>753</v>
      </c>
      <c r="C83" s="3" t="s">
        <v>154</v>
      </c>
      <c r="D83" s="3" t="s">
        <v>478</v>
      </c>
      <c r="E83" t="str">
        <f t="shared" si="1"/>
        <v>z0062693</v>
      </c>
      <c r="F83" s="3" t="s">
        <v>648</v>
      </c>
      <c r="G83" s="3"/>
      <c r="H83" s="3"/>
      <c r="I83" s="3" t="s">
        <v>1638</v>
      </c>
      <c r="J83" s="3"/>
      <c r="K83" s="3"/>
      <c r="L83" s="3" t="s">
        <v>680</v>
      </c>
      <c r="M83" s="3" t="s">
        <v>681</v>
      </c>
      <c r="N83" s="4">
        <v>23750</v>
      </c>
      <c r="O83" s="4">
        <v>62693</v>
      </c>
      <c r="P83" s="4">
        <v>1</v>
      </c>
      <c r="Q83" s="3" t="s">
        <v>690</v>
      </c>
      <c r="R83" s="4">
        <v>32</v>
      </c>
      <c r="S83" s="4">
        <v>1</v>
      </c>
      <c r="T83" s="4">
        <v>0</v>
      </c>
      <c r="U83" s="3"/>
      <c r="V83" s="3" t="s">
        <v>754</v>
      </c>
      <c r="W83" s="5">
        <v>39092</v>
      </c>
      <c r="X83" s="4">
        <v>2007</v>
      </c>
      <c r="Y83" s="4">
        <v>1</v>
      </c>
      <c r="Z83" s="4">
        <v>10</v>
      </c>
      <c r="AA83" s="3" t="s">
        <v>738</v>
      </c>
      <c r="AC83" t="s">
        <v>1364</v>
      </c>
      <c r="AD83" t="s">
        <v>1364</v>
      </c>
      <c r="AE83" t="s">
        <v>1365</v>
      </c>
      <c r="AF83" s="3" t="s">
        <v>739</v>
      </c>
      <c r="AG83" s="3"/>
      <c r="AH83" s="3"/>
      <c r="AI83" s="3"/>
      <c r="AJ83" s="3" t="s">
        <v>740</v>
      </c>
      <c r="AK83" s="3" t="s">
        <v>741</v>
      </c>
      <c r="AL83" s="3" t="s">
        <v>686</v>
      </c>
      <c r="AM83" s="3" t="s">
        <v>687</v>
      </c>
      <c r="AN83" s="3" t="s">
        <v>687</v>
      </c>
      <c r="AO83" s="3"/>
      <c r="AP83" s="3"/>
      <c r="AQ83" s="3"/>
      <c r="AR83" s="3"/>
      <c r="AS83" s="3"/>
      <c r="AT83" s="3"/>
      <c r="AU83" s="3"/>
      <c r="AV83" s="3"/>
      <c r="AW83" s="3"/>
      <c r="AX83" s="3"/>
      <c r="AY83" s="3"/>
      <c r="AZ83" s="3"/>
      <c r="BA83" s="3"/>
      <c r="BB83" s="3"/>
      <c r="BC83" s="3" t="s">
        <v>742</v>
      </c>
      <c r="BD83" s="3" t="s">
        <v>715</v>
      </c>
    </row>
    <row r="84" spans="2:56" ht="16" customHeight="1" x14ac:dyDescent="0.2">
      <c r="B84" s="3" t="s">
        <v>755</v>
      </c>
      <c r="C84" s="3" t="s">
        <v>155</v>
      </c>
      <c r="D84" s="3" t="s">
        <v>479</v>
      </c>
      <c r="E84" t="str">
        <f t="shared" si="1"/>
        <v>z0062694</v>
      </c>
      <c r="F84" s="3" t="s">
        <v>648</v>
      </c>
      <c r="G84" s="3"/>
      <c r="H84" s="3"/>
      <c r="I84" s="3" t="s">
        <v>1638</v>
      </c>
      <c r="J84" s="3"/>
      <c r="K84" s="3"/>
      <c r="L84" s="3" t="s">
        <v>680</v>
      </c>
      <c r="M84" s="3" t="s">
        <v>681</v>
      </c>
      <c r="N84" s="4">
        <v>23751</v>
      </c>
      <c r="O84" s="4">
        <v>62694</v>
      </c>
      <c r="P84" s="4">
        <v>1</v>
      </c>
      <c r="Q84" s="3" t="s">
        <v>690</v>
      </c>
      <c r="R84" s="4">
        <v>32</v>
      </c>
      <c r="S84" s="4">
        <v>2</v>
      </c>
      <c r="T84" s="4">
        <v>0</v>
      </c>
      <c r="U84" s="3"/>
      <c r="V84" s="3" t="s">
        <v>756</v>
      </c>
      <c r="W84" s="5">
        <v>38695</v>
      </c>
      <c r="X84" s="4">
        <v>2005</v>
      </c>
      <c r="Y84" s="4">
        <v>12</v>
      </c>
      <c r="Z84" s="4">
        <v>9</v>
      </c>
      <c r="AA84" s="3" t="s">
        <v>738</v>
      </c>
      <c r="AC84" t="s">
        <v>1364</v>
      </c>
      <c r="AD84" t="s">
        <v>1364</v>
      </c>
      <c r="AE84" t="s">
        <v>1365</v>
      </c>
      <c r="AF84" s="3" t="s">
        <v>739</v>
      </c>
      <c r="AG84" s="3"/>
      <c r="AH84" s="3"/>
      <c r="AI84" s="3"/>
      <c r="AJ84" s="3" t="s">
        <v>740</v>
      </c>
      <c r="AK84" s="3" t="s">
        <v>741</v>
      </c>
      <c r="AL84" s="3" t="s">
        <v>686</v>
      </c>
      <c r="AM84" s="3" t="s">
        <v>687</v>
      </c>
      <c r="AN84" s="3" t="s">
        <v>687</v>
      </c>
      <c r="AO84" s="3"/>
      <c r="AP84" s="3"/>
      <c r="AQ84" s="3"/>
      <c r="AR84" s="3"/>
      <c r="AS84" s="3"/>
      <c r="AT84" s="3"/>
      <c r="AU84" s="3"/>
      <c r="AV84" s="3"/>
      <c r="AW84" s="3"/>
      <c r="AX84" s="3"/>
      <c r="AY84" s="3"/>
      <c r="AZ84" s="3"/>
      <c r="BA84" s="3"/>
      <c r="BB84" s="3"/>
      <c r="BC84" s="3" t="s">
        <v>742</v>
      </c>
      <c r="BD84" s="3" t="s">
        <v>715</v>
      </c>
    </row>
    <row r="85" spans="2:56" ht="16" customHeight="1" x14ac:dyDescent="0.2">
      <c r="B85" s="3" t="s">
        <v>757</v>
      </c>
      <c r="C85" s="3" t="s">
        <v>156</v>
      </c>
      <c r="D85" s="3" t="s">
        <v>480</v>
      </c>
      <c r="E85" t="str">
        <f t="shared" si="1"/>
        <v>z0062694</v>
      </c>
      <c r="F85" s="3" t="s">
        <v>648</v>
      </c>
      <c r="G85" s="3"/>
      <c r="H85" s="3"/>
      <c r="I85" s="3" t="s">
        <v>1638</v>
      </c>
      <c r="J85" s="3"/>
      <c r="K85" s="3"/>
      <c r="L85" s="3" t="s">
        <v>680</v>
      </c>
      <c r="M85" s="3" t="s">
        <v>681</v>
      </c>
      <c r="N85" s="4">
        <v>23751</v>
      </c>
      <c r="O85" s="4">
        <v>62694</v>
      </c>
      <c r="P85" s="4">
        <v>1</v>
      </c>
      <c r="Q85" s="3" t="s">
        <v>690</v>
      </c>
      <c r="R85" s="4">
        <v>32</v>
      </c>
      <c r="S85" s="4">
        <v>2</v>
      </c>
      <c r="T85" s="4">
        <v>0</v>
      </c>
      <c r="U85" s="3"/>
      <c r="V85" s="3" t="s">
        <v>756</v>
      </c>
      <c r="W85" s="5">
        <v>38695</v>
      </c>
      <c r="X85" s="4">
        <v>2005</v>
      </c>
      <c r="Y85" s="4">
        <v>12</v>
      </c>
      <c r="Z85" s="4">
        <v>9</v>
      </c>
      <c r="AA85" s="3" t="s">
        <v>738</v>
      </c>
      <c r="AC85" t="s">
        <v>1364</v>
      </c>
      <c r="AD85" t="s">
        <v>1364</v>
      </c>
      <c r="AE85" t="s">
        <v>1365</v>
      </c>
      <c r="AF85" s="3" t="s">
        <v>739</v>
      </c>
      <c r="AG85" s="3"/>
      <c r="AH85" s="3"/>
      <c r="AI85" s="3"/>
      <c r="AJ85" s="3" t="s">
        <v>740</v>
      </c>
      <c r="AK85" s="3" t="s">
        <v>741</v>
      </c>
      <c r="AL85" s="3" t="s">
        <v>686</v>
      </c>
      <c r="AM85" s="3" t="s">
        <v>687</v>
      </c>
      <c r="AN85" s="3" t="s">
        <v>687</v>
      </c>
      <c r="AO85" s="3"/>
      <c r="AP85" s="3"/>
      <c r="AQ85" s="3"/>
      <c r="AR85" s="3"/>
      <c r="AS85" s="3"/>
      <c r="AT85" s="3"/>
      <c r="AU85" s="3"/>
      <c r="AV85" s="3"/>
      <c r="AW85" s="3"/>
      <c r="AX85" s="3"/>
      <c r="AY85" s="3"/>
      <c r="AZ85" s="3"/>
      <c r="BA85" s="3"/>
      <c r="BB85" s="3"/>
      <c r="BC85" s="3" t="s">
        <v>742</v>
      </c>
      <c r="BD85" s="3" t="s">
        <v>715</v>
      </c>
    </row>
    <row r="86" spans="2:56" ht="16" customHeight="1" x14ac:dyDescent="0.2">
      <c r="B86" s="3" t="s">
        <v>758</v>
      </c>
      <c r="C86" s="3" t="s">
        <v>157</v>
      </c>
      <c r="D86" s="3" t="s">
        <v>481</v>
      </c>
      <c r="E86" t="str">
        <f t="shared" si="1"/>
        <v>z0062697</v>
      </c>
      <c r="F86" s="3" t="s">
        <v>648</v>
      </c>
      <c r="G86" s="3"/>
      <c r="H86" s="3"/>
      <c r="I86" s="3" t="s">
        <v>1638</v>
      </c>
      <c r="J86" s="3"/>
      <c r="K86" s="3"/>
      <c r="L86" s="3" t="s">
        <v>680</v>
      </c>
      <c r="M86" s="3" t="s">
        <v>681</v>
      </c>
      <c r="N86" s="4">
        <v>23754</v>
      </c>
      <c r="O86" s="4">
        <v>62697</v>
      </c>
      <c r="P86" s="4">
        <v>1</v>
      </c>
      <c r="Q86" s="3" t="s">
        <v>759</v>
      </c>
      <c r="R86" s="4">
        <v>32</v>
      </c>
      <c r="S86" s="4">
        <v>1</v>
      </c>
      <c r="T86" s="4">
        <v>0</v>
      </c>
      <c r="U86" s="3"/>
      <c r="V86" s="3" t="s">
        <v>760</v>
      </c>
      <c r="W86" s="5">
        <v>39092</v>
      </c>
      <c r="X86" s="4">
        <v>2007</v>
      </c>
      <c r="Y86" s="4">
        <v>1</v>
      </c>
      <c r="Z86" s="4">
        <v>10</v>
      </c>
      <c r="AA86" s="3" t="s">
        <v>738</v>
      </c>
      <c r="AC86" t="s">
        <v>1364</v>
      </c>
      <c r="AD86" t="s">
        <v>1364</v>
      </c>
      <c r="AE86" t="s">
        <v>1365</v>
      </c>
      <c r="AF86" s="3" t="s">
        <v>739</v>
      </c>
      <c r="AG86" s="3"/>
      <c r="AH86" s="3"/>
      <c r="AI86" s="3"/>
      <c r="AJ86" s="3" t="s">
        <v>740</v>
      </c>
      <c r="AK86" s="3" t="s">
        <v>741</v>
      </c>
      <c r="AL86" s="3" t="s">
        <v>686</v>
      </c>
      <c r="AM86" s="3" t="s">
        <v>687</v>
      </c>
      <c r="AN86" s="3" t="s">
        <v>687</v>
      </c>
      <c r="AO86" s="3"/>
      <c r="AP86" s="3"/>
      <c r="AQ86" s="3"/>
      <c r="AR86" s="3"/>
      <c r="AS86" s="3"/>
      <c r="AT86" s="3"/>
      <c r="AU86" s="3"/>
      <c r="AV86" s="3"/>
      <c r="AW86" s="3"/>
      <c r="AX86" s="3"/>
      <c r="AY86" s="3"/>
      <c r="AZ86" s="3"/>
      <c r="BA86" s="3"/>
      <c r="BB86" s="3"/>
      <c r="BC86" s="3" t="s">
        <v>742</v>
      </c>
      <c r="BD86" s="3" t="s">
        <v>715</v>
      </c>
    </row>
    <row r="87" spans="2:56" ht="16" customHeight="1" x14ac:dyDescent="0.2">
      <c r="B87" s="3" t="s">
        <v>761</v>
      </c>
      <c r="C87" s="3" t="s">
        <v>158</v>
      </c>
      <c r="D87" s="3" t="s">
        <v>482</v>
      </c>
      <c r="E87" t="str">
        <f t="shared" si="1"/>
        <v>z0062700</v>
      </c>
      <c r="F87" s="3" t="s">
        <v>648</v>
      </c>
      <c r="G87" s="3"/>
      <c r="H87" s="3"/>
      <c r="I87" s="3" t="s">
        <v>1638</v>
      </c>
      <c r="J87" s="3"/>
      <c r="K87" s="3"/>
      <c r="L87" s="3" t="s">
        <v>680</v>
      </c>
      <c r="M87" s="3" t="s">
        <v>681</v>
      </c>
      <c r="N87" s="4">
        <v>23757</v>
      </c>
      <c r="O87" s="4">
        <v>62700</v>
      </c>
      <c r="P87" s="4">
        <v>1</v>
      </c>
      <c r="Q87" s="3" t="s">
        <v>690</v>
      </c>
      <c r="R87" s="4">
        <v>32</v>
      </c>
      <c r="S87" s="4">
        <v>1</v>
      </c>
      <c r="T87" s="4">
        <v>0</v>
      </c>
      <c r="U87" s="3"/>
      <c r="V87" s="3" t="s">
        <v>762</v>
      </c>
      <c r="W87" s="5">
        <v>39092</v>
      </c>
      <c r="X87" s="4">
        <v>2007</v>
      </c>
      <c r="Y87" s="4">
        <v>1</v>
      </c>
      <c r="Z87" s="4">
        <v>10</v>
      </c>
      <c r="AA87" s="3" t="s">
        <v>738</v>
      </c>
      <c r="AC87" t="s">
        <v>1364</v>
      </c>
      <c r="AD87" t="s">
        <v>1364</v>
      </c>
      <c r="AE87" t="s">
        <v>1365</v>
      </c>
      <c r="AF87" s="3" t="s">
        <v>739</v>
      </c>
      <c r="AG87" s="3"/>
      <c r="AH87" s="3"/>
      <c r="AI87" s="3"/>
      <c r="AJ87" s="3" t="s">
        <v>740</v>
      </c>
      <c r="AK87" s="3" t="s">
        <v>741</v>
      </c>
      <c r="AL87" s="3" t="s">
        <v>686</v>
      </c>
      <c r="AM87" s="3" t="s">
        <v>687</v>
      </c>
      <c r="AN87" s="3" t="s">
        <v>687</v>
      </c>
      <c r="AO87" s="3"/>
      <c r="AP87" s="3"/>
      <c r="AQ87" s="3"/>
      <c r="AR87" s="3"/>
      <c r="AS87" s="3"/>
      <c r="AT87" s="3"/>
      <c r="AU87" s="3"/>
      <c r="AV87" s="3"/>
      <c r="AW87" s="3"/>
      <c r="AX87" s="3"/>
      <c r="AY87" s="3"/>
      <c r="AZ87" s="3"/>
      <c r="BA87" s="3"/>
      <c r="BB87" s="3"/>
      <c r="BC87" s="3" t="s">
        <v>742</v>
      </c>
      <c r="BD87" s="3" t="s">
        <v>715</v>
      </c>
    </row>
    <row r="88" spans="2:56" ht="16" customHeight="1" x14ac:dyDescent="0.2">
      <c r="B88" s="3" t="s">
        <v>763</v>
      </c>
      <c r="C88" s="3" t="s">
        <v>159</v>
      </c>
      <c r="D88" s="3" t="s">
        <v>483</v>
      </c>
      <c r="E88" t="str">
        <f t="shared" si="1"/>
        <v>z0062701</v>
      </c>
      <c r="F88" s="3" t="s">
        <v>648</v>
      </c>
      <c r="G88" s="3"/>
      <c r="H88" s="3"/>
      <c r="I88" s="3" t="s">
        <v>1638</v>
      </c>
      <c r="J88" s="3"/>
      <c r="K88" s="3"/>
      <c r="L88" s="3" t="s">
        <v>680</v>
      </c>
      <c r="M88" s="3" t="s">
        <v>681</v>
      </c>
      <c r="N88" s="4">
        <v>23758</v>
      </c>
      <c r="O88" s="4">
        <v>62701</v>
      </c>
      <c r="P88" s="4">
        <v>1</v>
      </c>
      <c r="Q88" s="3" t="s">
        <v>690</v>
      </c>
      <c r="R88" s="4">
        <v>32</v>
      </c>
      <c r="S88" s="4">
        <v>1</v>
      </c>
      <c r="T88" s="4">
        <v>0</v>
      </c>
      <c r="U88" s="3"/>
      <c r="V88" s="3" t="s">
        <v>764</v>
      </c>
      <c r="W88" s="5">
        <v>38764</v>
      </c>
      <c r="X88" s="4">
        <v>2006</v>
      </c>
      <c r="Y88" s="4">
        <v>2</v>
      </c>
      <c r="Z88" s="4">
        <v>16</v>
      </c>
      <c r="AA88" s="3" t="s">
        <v>738</v>
      </c>
      <c r="AC88" t="s">
        <v>1364</v>
      </c>
      <c r="AD88" t="s">
        <v>1364</v>
      </c>
      <c r="AE88" t="s">
        <v>1365</v>
      </c>
      <c r="AF88" s="3" t="s">
        <v>739</v>
      </c>
      <c r="AG88" s="3"/>
      <c r="AH88" s="3"/>
      <c r="AI88" s="3"/>
      <c r="AJ88" s="3" t="s">
        <v>740</v>
      </c>
      <c r="AK88" s="3" t="s">
        <v>741</v>
      </c>
      <c r="AL88" s="3" t="s">
        <v>686</v>
      </c>
      <c r="AM88" s="3" t="s">
        <v>687</v>
      </c>
      <c r="AN88" s="3" t="s">
        <v>687</v>
      </c>
      <c r="AO88" s="3"/>
      <c r="AP88" s="3"/>
      <c r="AQ88" s="3"/>
      <c r="AR88" s="3"/>
      <c r="AS88" s="3"/>
      <c r="AT88" s="3"/>
      <c r="AU88" s="3"/>
      <c r="AV88" s="3"/>
      <c r="AW88" s="3"/>
      <c r="AX88" s="3"/>
      <c r="AY88" s="3"/>
      <c r="AZ88" s="3"/>
      <c r="BA88" s="3"/>
      <c r="BB88" s="3"/>
      <c r="BC88" s="3" t="s">
        <v>742</v>
      </c>
      <c r="BD88" s="3" t="s">
        <v>715</v>
      </c>
    </row>
    <row r="89" spans="2:56" ht="16" customHeight="1" x14ac:dyDescent="0.2">
      <c r="B89" s="3" t="s">
        <v>765</v>
      </c>
      <c r="C89" s="3" t="s">
        <v>160</v>
      </c>
      <c r="D89" s="3" t="s">
        <v>484</v>
      </c>
      <c r="E89" t="str">
        <f t="shared" si="1"/>
        <v>z0062702</v>
      </c>
      <c r="F89" s="3" t="s">
        <v>648</v>
      </c>
      <c r="G89" s="3"/>
      <c r="H89" s="3"/>
      <c r="I89" s="3" t="s">
        <v>1638</v>
      </c>
      <c r="J89" s="3"/>
      <c r="K89" s="3"/>
      <c r="L89" s="3" t="s">
        <v>680</v>
      </c>
      <c r="M89" s="3" t="s">
        <v>681</v>
      </c>
      <c r="N89" s="4">
        <v>23759</v>
      </c>
      <c r="O89" s="4">
        <v>62702</v>
      </c>
      <c r="P89" s="4">
        <v>1</v>
      </c>
      <c r="Q89" s="3" t="s">
        <v>759</v>
      </c>
      <c r="R89" s="4">
        <v>32</v>
      </c>
      <c r="S89" s="4">
        <v>1</v>
      </c>
      <c r="T89" s="4">
        <v>0</v>
      </c>
      <c r="U89" s="3"/>
      <c r="V89" s="3" t="s">
        <v>766</v>
      </c>
      <c r="W89" s="5">
        <v>39095</v>
      </c>
      <c r="X89" s="4">
        <v>2007</v>
      </c>
      <c r="Y89" s="4">
        <v>1</v>
      </c>
      <c r="Z89" s="4">
        <v>13</v>
      </c>
      <c r="AA89" s="3" t="s">
        <v>738</v>
      </c>
      <c r="AC89" t="s">
        <v>1364</v>
      </c>
      <c r="AD89" t="s">
        <v>1364</v>
      </c>
      <c r="AE89" t="s">
        <v>1365</v>
      </c>
      <c r="AF89" s="3" t="s">
        <v>739</v>
      </c>
      <c r="AG89" s="3"/>
      <c r="AH89" s="3"/>
      <c r="AI89" s="3"/>
      <c r="AJ89" s="3" t="s">
        <v>740</v>
      </c>
      <c r="AK89" s="3" t="s">
        <v>741</v>
      </c>
      <c r="AL89" s="3" t="s">
        <v>686</v>
      </c>
      <c r="AM89" s="3" t="s">
        <v>687</v>
      </c>
      <c r="AN89" s="3" t="s">
        <v>687</v>
      </c>
      <c r="AO89" s="3"/>
      <c r="AP89" s="3"/>
      <c r="AQ89" s="3"/>
      <c r="AR89" s="3"/>
      <c r="AS89" s="3"/>
      <c r="AT89" s="3"/>
      <c r="AU89" s="3"/>
      <c r="AV89" s="3"/>
      <c r="AW89" s="3"/>
      <c r="AX89" s="3"/>
      <c r="AY89" s="3"/>
      <c r="AZ89" s="3"/>
      <c r="BA89" s="3"/>
      <c r="BB89" s="3"/>
      <c r="BC89" s="3" t="s">
        <v>742</v>
      </c>
      <c r="BD89" s="3" t="s">
        <v>715</v>
      </c>
    </row>
    <row r="90" spans="2:56" ht="16" customHeight="1" x14ac:dyDescent="0.2">
      <c r="B90" s="3" t="s">
        <v>767</v>
      </c>
      <c r="C90" s="3" t="s">
        <v>161</v>
      </c>
      <c r="D90" s="3" t="s">
        <v>485</v>
      </c>
      <c r="E90" t="str">
        <f t="shared" si="1"/>
        <v>z0062704</v>
      </c>
      <c r="F90" s="3" t="s">
        <v>648</v>
      </c>
      <c r="G90" s="3"/>
      <c r="H90" s="3"/>
      <c r="I90" s="3" t="s">
        <v>1638</v>
      </c>
      <c r="J90" s="3"/>
      <c r="K90" s="3"/>
      <c r="L90" s="3" t="s">
        <v>680</v>
      </c>
      <c r="M90" s="3" t="s">
        <v>681</v>
      </c>
      <c r="N90" s="4">
        <v>23761</v>
      </c>
      <c r="O90" s="4">
        <v>62704</v>
      </c>
      <c r="P90" s="4">
        <v>1</v>
      </c>
      <c r="Q90" s="3" t="s">
        <v>690</v>
      </c>
      <c r="R90" s="4">
        <v>32</v>
      </c>
      <c r="S90" s="4">
        <v>1</v>
      </c>
      <c r="T90" s="4">
        <v>0</v>
      </c>
      <c r="U90" s="3"/>
      <c r="V90" s="3" t="s">
        <v>768</v>
      </c>
      <c r="W90" s="5">
        <v>39105</v>
      </c>
      <c r="X90" s="4">
        <v>2007</v>
      </c>
      <c r="Y90" s="4">
        <v>1</v>
      </c>
      <c r="Z90" s="4">
        <v>23</v>
      </c>
      <c r="AA90" s="3" t="s">
        <v>738</v>
      </c>
      <c r="AC90" t="s">
        <v>1364</v>
      </c>
      <c r="AD90" t="s">
        <v>1364</v>
      </c>
      <c r="AE90" t="s">
        <v>1365</v>
      </c>
      <c r="AF90" s="3" t="s">
        <v>739</v>
      </c>
      <c r="AG90" s="3"/>
      <c r="AH90" s="3"/>
      <c r="AI90" s="3"/>
      <c r="AJ90" s="3" t="s">
        <v>740</v>
      </c>
      <c r="AK90" s="3" t="s">
        <v>741</v>
      </c>
      <c r="AL90" s="3" t="s">
        <v>686</v>
      </c>
      <c r="AM90" s="3" t="s">
        <v>687</v>
      </c>
      <c r="AN90" s="3" t="s">
        <v>687</v>
      </c>
      <c r="AO90" s="3"/>
      <c r="AP90" s="3"/>
      <c r="AQ90" s="3"/>
      <c r="AR90" s="3"/>
      <c r="AS90" s="3"/>
      <c r="AT90" s="3"/>
      <c r="AU90" s="3"/>
      <c r="AV90" s="3"/>
      <c r="AW90" s="3"/>
      <c r="AX90" s="3"/>
      <c r="AY90" s="3"/>
      <c r="AZ90" s="3"/>
      <c r="BA90" s="3"/>
      <c r="BB90" s="3"/>
      <c r="BC90" s="3" t="s">
        <v>742</v>
      </c>
      <c r="BD90" s="3" t="s">
        <v>715</v>
      </c>
    </row>
    <row r="91" spans="2:56" ht="16" customHeight="1" x14ac:dyDescent="0.2">
      <c r="B91" s="3" t="s">
        <v>769</v>
      </c>
      <c r="C91" s="3" t="s">
        <v>162</v>
      </c>
      <c r="D91" s="3" t="s">
        <v>486</v>
      </c>
      <c r="E91" t="str">
        <f t="shared" si="1"/>
        <v>z0062707</v>
      </c>
      <c r="F91" s="3" t="s">
        <v>648</v>
      </c>
      <c r="G91" s="3"/>
      <c r="H91" s="3"/>
      <c r="I91" s="3" t="s">
        <v>1638</v>
      </c>
      <c r="J91" s="3"/>
      <c r="K91" s="3"/>
      <c r="L91" s="3" t="s">
        <v>680</v>
      </c>
      <c r="M91" s="3" t="s">
        <v>681</v>
      </c>
      <c r="N91" s="4">
        <v>23764</v>
      </c>
      <c r="O91" s="4">
        <v>62707</v>
      </c>
      <c r="P91" s="4">
        <v>1</v>
      </c>
      <c r="Q91" s="3" t="s">
        <v>725</v>
      </c>
      <c r="R91" s="4">
        <v>32</v>
      </c>
      <c r="S91" s="4">
        <v>1</v>
      </c>
      <c r="T91" s="4">
        <v>0</v>
      </c>
      <c r="U91" s="3"/>
      <c r="V91" s="3" t="s">
        <v>770</v>
      </c>
      <c r="W91" s="5">
        <v>38764</v>
      </c>
      <c r="X91" s="4">
        <v>2006</v>
      </c>
      <c r="Y91" s="4">
        <v>2</v>
      </c>
      <c r="Z91" s="4">
        <v>16</v>
      </c>
      <c r="AA91" s="3" t="s">
        <v>738</v>
      </c>
      <c r="AC91" t="s">
        <v>1364</v>
      </c>
      <c r="AD91" t="s">
        <v>1364</v>
      </c>
      <c r="AE91" t="s">
        <v>1365</v>
      </c>
      <c r="AF91" s="3" t="s">
        <v>739</v>
      </c>
      <c r="AG91" s="3"/>
      <c r="AH91" s="3"/>
      <c r="AI91" s="3"/>
      <c r="AJ91" s="3" t="s">
        <v>740</v>
      </c>
      <c r="AK91" s="3" t="s">
        <v>741</v>
      </c>
      <c r="AL91" s="3" t="s">
        <v>686</v>
      </c>
      <c r="AM91" s="3" t="s">
        <v>687</v>
      </c>
      <c r="AN91" s="3" t="s">
        <v>687</v>
      </c>
      <c r="AO91" s="3"/>
      <c r="AP91" s="3"/>
      <c r="AQ91" s="3"/>
      <c r="AR91" s="3"/>
      <c r="AS91" s="3"/>
      <c r="AT91" s="3"/>
      <c r="AU91" s="3"/>
      <c r="AV91" s="3"/>
      <c r="AW91" s="3"/>
      <c r="AX91" s="3"/>
      <c r="AY91" s="3"/>
      <c r="AZ91" s="3"/>
      <c r="BA91" s="3"/>
      <c r="BB91" s="3"/>
      <c r="BC91" s="3" t="s">
        <v>742</v>
      </c>
      <c r="BD91" s="3" t="s">
        <v>715</v>
      </c>
    </row>
    <row r="92" spans="2:56" ht="16" customHeight="1" x14ac:dyDescent="0.2">
      <c r="B92" s="3" t="s">
        <v>771</v>
      </c>
      <c r="C92" s="3" t="s">
        <v>163</v>
      </c>
      <c r="D92" s="3" t="s">
        <v>487</v>
      </c>
      <c r="E92" t="str">
        <f t="shared" si="1"/>
        <v>z0062708</v>
      </c>
      <c r="F92" s="3" t="s">
        <v>648</v>
      </c>
      <c r="G92" s="3"/>
      <c r="H92" s="3"/>
      <c r="I92" s="3" t="s">
        <v>1638</v>
      </c>
      <c r="J92" s="3"/>
      <c r="K92" s="3"/>
      <c r="L92" s="3" t="s">
        <v>680</v>
      </c>
      <c r="M92" s="3" t="s">
        <v>681</v>
      </c>
      <c r="N92" s="4">
        <v>23765</v>
      </c>
      <c r="O92" s="4">
        <v>62708</v>
      </c>
      <c r="P92" s="4">
        <v>1</v>
      </c>
      <c r="Q92" s="3" t="s">
        <v>690</v>
      </c>
      <c r="R92" s="4">
        <v>32</v>
      </c>
      <c r="S92" s="4">
        <v>1</v>
      </c>
      <c r="T92" s="4">
        <v>0</v>
      </c>
      <c r="U92" s="3"/>
      <c r="V92" s="3" t="s">
        <v>772</v>
      </c>
      <c r="W92" s="5">
        <v>39096</v>
      </c>
      <c r="X92" s="4">
        <v>2007</v>
      </c>
      <c r="Y92" s="4">
        <v>1</v>
      </c>
      <c r="Z92" s="4">
        <v>14</v>
      </c>
      <c r="AA92" s="3" t="s">
        <v>738</v>
      </c>
      <c r="AC92" t="s">
        <v>1364</v>
      </c>
      <c r="AD92" t="s">
        <v>1364</v>
      </c>
      <c r="AE92" t="s">
        <v>1365</v>
      </c>
      <c r="AF92" s="3" t="s">
        <v>739</v>
      </c>
      <c r="AG92" s="3"/>
      <c r="AH92" s="3"/>
      <c r="AI92" s="3"/>
      <c r="AJ92" s="3" t="s">
        <v>740</v>
      </c>
      <c r="AK92" s="3" t="s">
        <v>741</v>
      </c>
      <c r="AL92" s="3" t="s">
        <v>686</v>
      </c>
      <c r="AM92" s="3" t="s">
        <v>687</v>
      </c>
      <c r="AN92" s="3" t="s">
        <v>687</v>
      </c>
      <c r="AO92" s="3"/>
      <c r="AP92" s="3"/>
      <c r="AQ92" s="3"/>
      <c r="AR92" s="3"/>
      <c r="AS92" s="3"/>
      <c r="AT92" s="3"/>
      <c r="AU92" s="3"/>
      <c r="AV92" s="3"/>
      <c r="AW92" s="3"/>
      <c r="AX92" s="3"/>
      <c r="AY92" s="3"/>
      <c r="AZ92" s="3"/>
      <c r="BA92" s="3"/>
      <c r="BB92" s="3"/>
      <c r="BC92" s="3" t="s">
        <v>742</v>
      </c>
      <c r="BD92" s="3" t="s">
        <v>715</v>
      </c>
    </row>
    <row r="93" spans="2:56" ht="16" customHeight="1" x14ac:dyDescent="0.2">
      <c r="B93" s="3" t="s">
        <v>773</v>
      </c>
      <c r="C93" s="3" t="s">
        <v>164</v>
      </c>
      <c r="D93" s="3" t="s">
        <v>488</v>
      </c>
      <c r="E93" t="str">
        <f t="shared" si="1"/>
        <v>z0062709</v>
      </c>
      <c r="F93" s="3" t="s">
        <v>648</v>
      </c>
      <c r="G93" s="3"/>
      <c r="H93" s="3"/>
      <c r="I93" s="3" t="s">
        <v>1638</v>
      </c>
      <c r="J93" s="3"/>
      <c r="K93" s="3"/>
      <c r="L93" s="3" t="s">
        <v>680</v>
      </c>
      <c r="M93" s="3" t="s">
        <v>681</v>
      </c>
      <c r="N93" s="4">
        <v>23766</v>
      </c>
      <c r="O93" s="4">
        <v>62709</v>
      </c>
      <c r="P93" s="4">
        <v>1</v>
      </c>
      <c r="Q93" s="3" t="s">
        <v>690</v>
      </c>
      <c r="R93" s="4">
        <v>30</v>
      </c>
      <c r="S93" s="4">
        <v>1</v>
      </c>
      <c r="T93" s="4">
        <v>0</v>
      </c>
      <c r="U93" s="3"/>
      <c r="V93" s="3" t="s">
        <v>774</v>
      </c>
      <c r="W93" s="5">
        <v>39098</v>
      </c>
      <c r="X93" s="4">
        <v>2007</v>
      </c>
      <c r="Y93" s="4">
        <v>1</v>
      </c>
      <c r="Z93" s="4">
        <v>16</v>
      </c>
      <c r="AA93" s="3" t="s">
        <v>738</v>
      </c>
      <c r="AC93" t="s">
        <v>1364</v>
      </c>
      <c r="AD93" t="s">
        <v>1364</v>
      </c>
      <c r="AE93" t="s">
        <v>1365</v>
      </c>
      <c r="AF93" s="3" t="s">
        <v>739</v>
      </c>
      <c r="AG93" s="3"/>
      <c r="AH93" s="3"/>
      <c r="AI93" s="3"/>
      <c r="AJ93" s="3" t="s">
        <v>740</v>
      </c>
      <c r="AK93" s="3" t="s">
        <v>741</v>
      </c>
      <c r="AL93" s="3" t="s">
        <v>686</v>
      </c>
      <c r="AM93" s="3" t="s">
        <v>687</v>
      </c>
      <c r="AN93" s="3" t="s">
        <v>687</v>
      </c>
      <c r="AO93" s="3"/>
      <c r="AP93" s="3"/>
      <c r="AQ93" s="3"/>
      <c r="AR93" s="3"/>
      <c r="AS93" s="3"/>
      <c r="AT93" s="3"/>
      <c r="AU93" s="3"/>
      <c r="AV93" s="3"/>
      <c r="AW93" s="3"/>
      <c r="AX93" s="3"/>
      <c r="AY93" s="3"/>
      <c r="AZ93" s="3"/>
      <c r="BA93" s="3"/>
      <c r="BB93" s="3"/>
      <c r="BC93" s="3" t="s">
        <v>742</v>
      </c>
      <c r="BD93" s="3" t="s">
        <v>715</v>
      </c>
    </row>
    <row r="94" spans="2:56" ht="16" customHeight="1" x14ac:dyDescent="0.2">
      <c r="B94" s="3" t="s">
        <v>775</v>
      </c>
      <c r="C94" s="3" t="s">
        <v>165</v>
      </c>
      <c r="D94" s="3" t="s">
        <v>489</v>
      </c>
      <c r="E94" t="str">
        <f t="shared" si="1"/>
        <v>z0062710</v>
      </c>
      <c r="F94" s="3" t="s">
        <v>648</v>
      </c>
      <c r="G94" s="3"/>
      <c r="H94" s="3"/>
      <c r="I94" s="3" t="s">
        <v>1638</v>
      </c>
      <c r="J94" s="3"/>
      <c r="K94" s="3"/>
      <c r="L94" s="3" t="s">
        <v>680</v>
      </c>
      <c r="M94" s="3" t="s">
        <v>681</v>
      </c>
      <c r="N94" s="4">
        <v>23767</v>
      </c>
      <c r="O94" s="4">
        <v>62710</v>
      </c>
      <c r="P94" s="4">
        <v>1</v>
      </c>
      <c r="Q94" s="3" t="s">
        <v>690</v>
      </c>
      <c r="R94" s="4">
        <v>32</v>
      </c>
      <c r="S94" s="4">
        <v>1</v>
      </c>
      <c r="T94" s="4">
        <v>0</v>
      </c>
      <c r="U94" s="3"/>
      <c r="V94" s="3" t="s">
        <v>776</v>
      </c>
      <c r="W94" s="5">
        <v>38743</v>
      </c>
      <c r="X94" s="4">
        <v>2006</v>
      </c>
      <c r="Y94" s="4">
        <v>1</v>
      </c>
      <c r="Z94" s="4">
        <v>26</v>
      </c>
      <c r="AA94" s="3" t="s">
        <v>738</v>
      </c>
      <c r="AC94" t="s">
        <v>1364</v>
      </c>
      <c r="AD94" t="s">
        <v>1364</v>
      </c>
      <c r="AE94" t="s">
        <v>1365</v>
      </c>
      <c r="AF94" s="3" t="s">
        <v>739</v>
      </c>
      <c r="AG94" s="3"/>
      <c r="AH94" s="3"/>
      <c r="AI94" s="3"/>
      <c r="AJ94" s="3" t="s">
        <v>740</v>
      </c>
      <c r="AK94" s="3" t="s">
        <v>741</v>
      </c>
      <c r="AL94" s="3" t="s">
        <v>686</v>
      </c>
      <c r="AM94" s="3" t="s">
        <v>687</v>
      </c>
      <c r="AN94" s="3" t="s">
        <v>687</v>
      </c>
      <c r="AO94" s="3"/>
      <c r="AP94" s="3"/>
      <c r="AQ94" s="3"/>
      <c r="AR94" s="3"/>
      <c r="AS94" s="3"/>
      <c r="AT94" s="3"/>
      <c r="AU94" s="3"/>
      <c r="AV94" s="3"/>
      <c r="AW94" s="3"/>
      <c r="AX94" s="3"/>
      <c r="AY94" s="3"/>
      <c r="AZ94" s="3"/>
      <c r="BA94" s="3"/>
      <c r="BB94" s="3"/>
      <c r="BC94" s="3" t="s">
        <v>742</v>
      </c>
      <c r="BD94" s="3" t="s">
        <v>715</v>
      </c>
    </row>
    <row r="95" spans="2:56" ht="16" customHeight="1" x14ac:dyDescent="0.2">
      <c r="B95" s="3" t="s">
        <v>777</v>
      </c>
      <c r="C95" s="3" t="s">
        <v>166</v>
      </c>
      <c r="D95" s="3" t="s">
        <v>490</v>
      </c>
      <c r="E95" t="str">
        <f t="shared" si="1"/>
        <v>z0062712</v>
      </c>
      <c r="F95" s="3" t="s">
        <v>648</v>
      </c>
      <c r="G95" s="3"/>
      <c r="H95" s="3"/>
      <c r="I95" s="3" t="s">
        <v>1638</v>
      </c>
      <c r="J95" s="3"/>
      <c r="K95" s="3"/>
      <c r="L95" s="3" t="s">
        <v>680</v>
      </c>
      <c r="M95" s="3" t="s">
        <v>681</v>
      </c>
      <c r="N95" s="4">
        <v>23769</v>
      </c>
      <c r="O95" s="4">
        <v>62712</v>
      </c>
      <c r="P95" s="4">
        <v>1</v>
      </c>
      <c r="Q95" s="3" t="s">
        <v>690</v>
      </c>
      <c r="R95" s="4">
        <v>32</v>
      </c>
      <c r="S95" s="4">
        <v>2</v>
      </c>
      <c r="T95" s="4">
        <v>0</v>
      </c>
      <c r="U95" s="3"/>
      <c r="V95" s="3" t="s">
        <v>778</v>
      </c>
      <c r="W95" s="5">
        <v>38735</v>
      </c>
      <c r="X95" s="4">
        <v>2006</v>
      </c>
      <c r="Y95" s="4">
        <v>1</v>
      </c>
      <c r="Z95" s="4">
        <v>18</v>
      </c>
      <c r="AA95" s="3" t="s">
        <v>738</v>
      </c>
      <c r="AC95" t="s">
        <v>1364</v>
      </c>
      <c r="AD95" t="s">
        <v>1364</v>
      </c>
      <c r="AE95" t="s">
        <v>1365</v>
      </c>
      <c r="AF95" s="3" t="s">
        <v>739</v>
      </c>
      <c r="AG95" s="3"/>
      <c r="AH95" s="3"/>
      <c r="AI95" s="3"/>
      <c r="AJ95" s="3" t="s">
        <v>740</v>
      </c>
      <c r="AK95" s="3" t="s">
        <v>741</v>
      </c>
      <c r="AL95" s="3" t="s">
        <v>686</v>
      </c>
      <c r="AM95" s="3" t="s">
        <v>687</v>
      </c>
      <c r="AN95" s="3" t="s">
        <v>687</v>
      </c>
      <c r="AO95" s="3"/>
      <c r="AP95" s="3"/>
      <c r="AQ95" s="3"/>
      <c r="AR95" s="3"/>
      <c r="AS95" s="3"/>
      <c r="AT95" s="3"/>
      <c r="AU95" s="3"/>
      <c r="AV95" s="3"/>
      <c r="AW95" s="3"/>
      <c r="AX95" s="3"/>
      <c r="AY95" s="3"/>
      <c r="AZ95" s="3"/>
      <c r="BA95" s="3"/>
      <c r="BB95" s="3"/>
      <c r="BC95" s="3" t="s">
        <v>742</v>
      </c>
      <c r="BD95" s="3" t="s">
        <v>715</v>
      </c>
    </row>
    <row r="96" spans="2:56" ht="16" customHeight="1" x14ac:dyDescent="0.2">
      <c r="B96" s="3" t="s">
        <v>779</v>
      </c>
      <c r="C96" s="3" t="s">
        <v>167</v>
      </c>
      <c r="D96" s="3" t="s">
        <v>491</v>
      </c>
      <c r="E96" t="str">
        <f t="shared" si="1"/>
        <v>z0062712</v>
      </c>
      <c r="F96" s="3" t="s">
        <v>648</v>
      </c>
      <c r="G96" s="3"/>
      <c r="H96" s="3"/>
      <c r="I96" s="3" t="s">
        <v>1638</v>
      </c>
      <c r="J96" s="3"/>
      <c r="K96" s="3"/>
      <c r="L96" s="3" t="s">
        <v>680</v>
      </c>
      <c r="M96" s="3" t="s">
        <v>681</v>
      </c>
      <c r="N96" s="4">
        <v>23769</v>
      </c>
      <c r="O96" s="4">
        <v>62712</v>
      </c>
      <c r="P96" s="4">
        <v>1</v>
      </c>
      <c r="Q96" s="3" t="s">
        <v>690</v>
      </c>
      <c r="R96" s="4">
        <v>32</v>
      </c>
      <c r="S96" s="4">
        <v>2</v>
      </c>
      <c r="T96" s="4">
        <v>0</v>
      </c>
      <c r="U96" s="3"/>
      <c r="V96" s="3" t="s">
        <v>778</v>
      </c>
      <c r="W96" s="5">
        <v>38735</v>
      </c>
      <c r="X96" s="4">
        <v>2006</v>
      </c>
      <c r="Y96" s="4">
        <v>1</v>
      </c>
      <c r="Z96" s="4">
        <v>18</v>
      </c>
      <c r="AA96" s="3" t="s">
        <v>738</v>
      </c>
      <c r="AC96" t="s">
        <v>1364</v>
      </c>
      <c r="AD96" t="s">
        <v>1364</v>
      </c>
      <c r="AE96" t="s">
        <v>1365</v>
      </c>
      <c r="AF96" s="3" t="s">
        <v>739</v>
      </c>
      <c r="AG96" s="3"/>
      <c r="AH96" s="3"/>
      <c r="AI96" s="3"/>
      <c r="AJ96" s="3" t="s">
        <v>740</v>
      </c>
      <c r="AK96" s="3" t="s">
        <v>741</v>
      </c>
      <c r="AL96" s="3" t="s">
        <v>686</v>
      </c>
      <c r="AM96" s="3" t="s">
        <v>687</v>
      </c>
      <c r="AN96" s="3" t="s">
        <v>687</v>
      </c>
      <c r="AO96" s="3"/>
      <c r="AP96" s="3"/>
      <c r="AQ96" s="3"/>
      <c r="AR96" s="3"/>
      <c r="AS96" s="3"/>
      <c r="AT96" s="3"/>
      <c r="AU96" s="3"/>
      <c r="AV96" s="3"/>
      <c r="AW96" s="3"/>
      <c r="AX96" s="3"/>
      <c r="AY96" s="3"/>
      <c r="AZ96" s="3"/>
      <c r="BA96" s="3"/>
      <c r="BB96" s="3"/>
      <c r="BC96" s="3" t="s">
        <v>742</v>
      </c>
      <c r="BD96" s="3" t="s">
        <v>715</v>
      </c>
    </row>
    <row r="97" spans="2:56" ht="16" customHeight="1" x14ac:dyDescent="0.2">
      <c r="B97" s="3" t="s">
        <v>780</v>
      </c>
      <c r="C97" s="3" t="s">
        <v>168</v>
      </c>
      <c r="D97" s="3" t="s">
        <v>492</v>
      </c>
      <c r="E97" t="str">
        <f t="shared" si="1"/>
        <v>z0062715</v>
      </c>
      <c r="F97" s="3" t="s">
        <v>648</v>
      </c>
      <c r="G97" s="3"/>
      <c r="H97" s="3"/>
      <c r="I97" s="3" t="s">
        <v>1638</v>
      </c>
      <c r="J97" s="3"/>
      <c r="K97" s="3"/>
      <c r="L97" s="3" t="s">
        <v>680</v>
      </c>
      <c r="M97" s="3" t="s">
        <v>681</v>
      </c>
      <c r="N97" s="4">
        <v>23772</v>
      </c>
      <c r="O97" s="4">
        <v>62715</v>
      </c>
      <c r="P97" s="4">
        <v>1</v>
      </c>
      <c r="Q97" s="3" t="s">
        <v>690</v>
      </c>
      <c r="R97" s="4">
        <v>32</v>
      </c>
      <c r="S97" s="4">
        <v>1</v>
      </c>
      <c r="T97" s="4">
        <v>0</v>
      </c>
      <c r="U97" s="3"/>
      <c r="V97" s="3" t="s">
        <v>781</v>
      </c>
      <c r="W97" s="5">
        <v>39068</v>
      </c>
      <c r="X97" s="4">
        <v>2006</v>
      </c>
      <c r="Y97" s="4">
        <v>12</v>
      </c>
      <c r="Z97" s="4">
        <v>17</v>
      </c>
      <c r="AA97" s="3" t="s">
        <v>738</v>
      </c>
      <c r="AC97" t="s">
        <v>1364</v>
      </c>
      <c r="AD97" t="s">
        <v>1364</v>
      </c>
      <c r="AE97" t="s">
        <v>1365</v>
      </c>
      <c r="AF97" s="3" t="s">
        <v>739</v>
      </c>
      <c r="AG97" s="3"/>
      <c r="AH97" s="3"/>
      <c r="AI97" s="3"/>
      <c r="AJ97" s="3" t="s">
        <v>740</v>
      </c>
      <c r="AK97" s="3" t="s">
        <v>741</v>
      </c>
      <c r="AL97" s="3" t="s">
        <v>686</v>
      </c>
      <c r="AM97" s="3" t="s">
        <v>687</v>
      </c>
      <c r="AN97" s="3" t="s">
        <v>687</v>
      </c>
      <c r="AO97" s="3"/>
      <c r="AP97" s="3"/>
      <c r="AQ97" s="3"/>
      <c r="AR97" s="3"/>
      <c r="AS97" s="3"/>
      <c r="AT97" s="3"/>
      <c r="AU97" s="3"/>
      <c r="AV97" s="3"/>
      <c r="AW97" s="3"/>
      <c r="AX97" s="3"/>
      <c r="AY97" s="3"/>
      <c r="AZ97" s="3"/>
      <c r="BA97" s="3"/>
      <c r="BB97" s="3"/>
      <c r="BC97" s="3" t="s">
        <v>742</v>
      </c>
      <c r="BD97" s="3" t="s">
        <v>715</v>
      </c>
    </row>
    <row r="98" spans="2:56" ht="16" customHeight="1" x14ac:dyDescent="0.2">
      <c r="B98" s="3" t="s">
        <v>782</v>
      </c>
      <c r="C98" s="3" t="s">
        <v>169</v>
      </c>
      <c r="D98" s="3" t="s">
        <v>493</v>
      </c>
      <c r="E98" t="str">
        <f t="shared" si="1"/>
        <v>z0062716</v>
      </c>
      <c r="F98" s="3" t="s">
        <v>648</v>
      </c>
      <c r="G98" s="3"/>
      <c r="H98" s="3"/>
      <c r="I98" s="3" t="s">
        <v>1638</v>
      </c>
      <c r="J98" s="3"/>
      <c r="K98" s="3"/>
      <c r="L98" s="3" t="s">
        <v>680</v>
      </c>
      <c r="M98" s="3" t="s">
        <v>681</v>
      </c>
      <c r="N98" s="4">
        <v>23773</v>
      </c>
      <c r="O98" s="4">
        <v>62716</v>
      </c>
      <c r="P98" s="4">
        <v>1</v>
      </c>
      <c r="Q98" s="3" t="s">
        <v>690</v>
      </c>
      <c r="R98" s="4">
        <v>32</v>
      </c>
      <c r="S98" s="4">
        <v>1</v>
      </c>
      <c r="T98" s="4">
        <v>0</v>
      </c>
      <c r="U98" s="3"/>
      <c r="V98" s="3" t="s">
        <v>783</v>
      </c>
      <c r="W98" s="5">
        <v>39070</v>
      </c>
      <c r="X98" s="4">
        <v>2006</v>
      </c>
      <c r="Y98" s="4">
        <v>12</v>
      </c>
      <c r="Z98" s="4">
        <v>19</v>
      </c>
      <c r="AA98" s="3" t="s">
        <v>738</v>
      </c>
      <c r="AC98" t="s">
        <v>1364</v>
      </c>
      <c r="AD98" t="s">
        <v>1364</v>
      </c>
      <c r="AE98" t="s">
        <v>1365</v>
      </c>
      <c r="AF98" s="3" t="s">
        <v>739</v>
      </c>
      <c r="AG98" s="3"/>
      <c r="AH98" s="3"/>
      <c r="AI98" s="3"/>
      <c r="AJ98" s="3" t="s">
        <v>740</v>
      </c>
      <c r="AK98" s="3" t="s">
        <v>741</v>
      </c>
      <c r="AL98" s="3" t="s">
        <v>686</v>
      </c>
      <c r="AM98" s="3" t="s">
        <v>687</v>
      </c>
      <c r="AN98" s="3" t="s">
        <v>687</v>
      </c>
      <c r="AO98" s="3"/>
      <c r="AP98" s="3"/>
      <c r="AQ98" s="3"/>
      <c r="AR98" s="3"/>
      <c r="AS98" s="3"/>
      <c r="AT98" s="3"/>
      <c r="AU98" s="3"/>
      <c r="AV98" s="3"/>
      <c r="AW98" s="3"/>
      <c r="AX98" s="3"/>
      <c r="AY98" s="3"/>
      <c r="AZ98" s="3"/>
      <c r="BA98" s="3"/>
      <c r="BB98" s="3"/>
      <c r="BC98" s="3" t="s">
        <v>742</v>
      </c>
      <c r="BD98" s="3" t="s">
        <v>715</v>
      </c>
    </row>
    <row r="99" spans="2:56" x14ac:dyDescent="0.2">
      <c r="B99" s="3" t="s">
        <v>784</v>
      </c>
      <c r="C99" s="3" t="s">
        <v>170</v>
      </c>
      <c r="D99" s="3" t="s">
        <v>494</v>
      </c>
      <c r="E99" t="str">
        <f t="shared" si="1"/>
        <v>z0062717</v>
      </c>
      <c r="F99" s="3" t="s">
        <v>648</v>
      </c>
      <c r="G99" s="3"/>
      <c r="H99" s="3"/>
      <c r="I99" s="3" t="s">
        <v>1638</v>
      </c>
      <c r="J99" s="3"/>
      <c r="K99" s="3"/>
      <c r="L99" s="3" t="s">
        <v>680</v>
      </c>
      <c r="M99" s="3" t="s">
        <v>681</v>
      </c>
      <c r="N99" s="4">
        <v>23774</v>
      </c>
      <c r="O99" s="4">
        <v>62717</v>
      </c>
      <c r="P99" s="4">
        <v>1</v>
      </c>
      <c r="Q99" s="3" t="s">
        <v>690</v>
      </c>
      <c r="R99" s="4">
        <v>32</v>
      </c>
      <c r="S99" s="4">
        <v>1</v>
      </c>
      <c r="T99" s="4">
        <v>0</v>
      </c>
      <c r="U99" s="3"/>
      <c r="V99" s="3" t="s">
        <v>785</v>
      </c>
      <c r="W99" s="5">
        <v>38735</v>
      </c>
      <c r="X99" s="4">
        <v>2006</v>
      </c>
      <c r="Y99" s="4">
        <v>1</v>
      </c>
      <c r="Z99" s="4">
        <v>18</v>
      </c>
      <c r="AA99" s="3" t="s">
        <v>738</v>
      </c>
      <c r="AC99" t="s">
        <v>1364</v>
      </c>
      <c r="AD99" t="s">
        <v>1364</v>
      </c>
      <c r="AE99" t="s">
        <v>1365</v>
      </c>
      <c r="AF99" s="3" t="s">
        <v>739</v>
      </c>
      <c r="AG99" s="3"/>
      <c r="AH99" s="3"/>
      <c r="AI99" s="3"/>
      <c r="AJ99" s="3" t="s">
        <v>740</v>
      </c>
      <c r="AK99" s="3" t="s">
        <v>741</v>
      </c>
      <c r="AL99" s="3" t="s">
        <v>686</v>
      </c>
      <c r="AM99" s="3" t="s">
        <v>687</v>
      </c>
      <c r="AN99" s="3" t="s">
        <v>687</v>
      </c>
      <c r="AO99" s="3"/>
      <c r="AP99" s="3"/>
      <c r="AQ99" s="3"/>
      <c r="AR99" s="3"/>
      <c r="AS99" s="3"/>
      <c r="AT99" s="3"/>
      <c r="AU99" s="3"/>
      <c r="AV99" s="3"/>
      <c r="AW99" s="3"/>
      <c r="AX99" s="3"/>
      <c r="AY99" s="3"/>
      <c r="AZ99" s="3"/>
      <c r="BA99" s="3"/>
      <c r="BB99" s="3"/>
      <c r="BC99" s="3" t="s">
        <v>742</v>
      </c>
      <c r="BD99" s="3" t="s">
        <v>715</v>
      </c>
    </row>
    <row r="100" spans="2:56" x14ac:dyDescent="0.2">
      <c r="B100" s="3" t="s">
        <v>786</v>
      </c>
      <c r="C100" s="3" t="s">
        <v>171</v>
      </c>
      <c r="D100" s="3" t="s">
        <v>495</v>
      </c>
      <c r="E100" t="str">
        <f t="shared" si="1"/>
        <v>z0062718</v>
      </c>
      <c r="F100" s="3" t="s">
        <v>648</v>
      </c>
      <c r="G100" s="3"/>
      <c r="H100" s="3"/>
      <c r="I100" s="3" t="s">
        <v>1638</v>
      </c>
      <c r="J100" s="3"/>
      <c r="K100" s="3"/>
      <c r="L100" s="3" t="s">
        <v>680</v>
      </c>
      <c r="M100" s="3" t="s">
        <v>681</v>
      </c>
      <c r="N100" s="4">
        <v>23775</v>
      </c>
      <c r="O100" s="4">
        <v>62718</v>
      </c>
      <c r="P100" s="4">
        <v>1</v>
      </c>
      <c r="Q100" s="3" t="s">
        <v>690</v>
      </c>
      <c r="R100" s="4">
        <v>32</v>
      </c>
      <c r="S100" s="4">
        <v>1</v>
      </c>
      <c r="T100" s="4">
        <v>0</v>
      </c>
      <c r="U100" s="3"/>
      <c r="V100" s="3" t="s">
        <v>787</v>
      </c>
      <c r="W100" s="5">
        <v>38735</v>
      </c>
      <c r="X100" s="4">
        <v>2006</v>
      </c>
      <c r="Y100" s="4">
        <v>1</v>
      </c>
      <c r="Z100" s="4">
        <v>18</v>
      </c>
      <c r="AA100" s="3" t="s">
        <v>738</v>
      </c>
      <c r="AC100" t="s">
        <v>1364</v>
      </c>
      <c r="AD100" t="s">
        <v>1364</v>
      </c>
      <c r="AE100" t="s">
        <v>1365</v>
      </c>
      <c r="AF100" s="3" t="s">
        <v>739</v>
      </c>
      <c r="AG100" s="3"/>
      <c r="AH100" s="3"/>
      <c r="AI100" s="3"/>
      <c r="AJ100" s="3" t="s">
        <v>740</v>
      </c>
      <c r="AK100" s="3" t="s">
        <v>741</v>
      </c>
      <c r="AL100" s="3" t="s">
        <v>686</v>
      </c>
      <c r="AM100" s="3" t="s">
        <v>687</v>
      </c>
      <c r="AN100" s="3" t="s">
        <v>687</v>
      </c>
      <c r="AO100" s="3"/>
      <c r="AP100" s="3"/>
      <c r="AQ100" s="3"/>
      <c r="AR100" s="3"/>
      <c r="AS100" s="3"/>
      <c r="AT100" s="3"/>
      <c r="AU100" s="3"/>
      <c r="AV100" s="3"/>
      <c r="AW100" s="3"/>
      <c r="AX100" s="3"/>
      <c r="AY100" s="3"/>
      <c r="AZ100" s="3"/>
      <c r="BA100" s="3"/>
      <c r="BB100" s="3"/>
      <c r="BC100" s="3" t="s">
        <v>742</v>
      </c>
      <c r="BD100" s="3" t="s">
        <v>715</v>
      </c>
    </row>
    <row r="101" spans="2:56" x14ac:dyDescent="0.2">
      <c r="B101" s="3" t="s">
        <v>788</v>
      </c>
      <c r="C101" s="3" t="s">
        <v>172</v>
      </c>
      <c r="D101" s="3" t="s">
        <v>496</v>
      </c>
      <c r="E101" t="str">
        <f t="shared" si="1"/>
        <v>z0062720</v>
      </c>
      <c r="F101" s="3" t="s">
        <v>648</v>
      </c>
      <c r="G101" s="3"/>
      <c r="H101" s="3"/>
      <c r="I101" s="3" t="s">
        <v>1638</v>
      </c>
      <c r="J101" s="3"/>
      <c r="K101" s="3"/>
      <c r="L101" s="3" t="s">
        <v>680</v>
      </c>
      <c r="M101" s="3" t="s">
        <v>681</v>
      </c>
      <c r="N101" s="4">
        <v>23777</v>
      </c>
      <c r="O101" s="4">
        <v>62720</v>
      </c>
      <c r="P101" s="4">
        <v>1</v>
      </c>
      <c r="Q101" s="3" t="s">
        <v>789</v>
      </c>
      <c r="R101" s="4">
        <v>30</v>
      </c>
      <c r="S101" s="4">
        <v>1</v>
      </c>
      <c r="T101" s="4">
        <v>0</v>
      </c>
      <c r="U101" s="3"/>
      <c r="V101" s="3" t="s">
        <v>790</v>
      </c>
      <c r="W101" s="5">
        <v>39103</v>
      </c>
      <c r="X101" s="4">
        <v>2007</v>
      </c>
      <c r="Y101" s="4">
        <v>1</v>
      </c>
      <c r="Z101" s="4">
        <v>21</v>
      </c>
      <c r="AA101" s="3" t="s">
        <v>738</v>
      </c>
      <c r="AC101" t="s">
        <v>1364</v>
      </c>
      <c r="AD101" t="s">
        <v>1364</v>
      </c>
      <c r="AE101" t="s">
        <v>1365</v>
      </c>
      <c r="AF101" s="3" t="s">
        <v>739</v>
      </c>
      <c r="AG101" s="3"/>
      <c r="AH101" s="3"/>
      <c r="AI101" s="3"/>
      <c r="AJ101" s="3" t="s">
        <v>740</v>
      </c>
      <c r="AK101" s="3" t="s">
        <v>741</v>
      </c>
      <c r="AL101" s="3" t="s">
        <v>686</v>
      </c>
      <c r="AM101" s="3" t="s">
        <v>687</v>
      </c>
      <c r="AN101" s="3" t="s">
        <v>687</v>
      </c>
      <c r="AO101" s="3"/>
      <c r="AP101" s="3"/>
      <c r="AQ101" s="3"/>
      <c r="AR101" s="3"/>
      <c r="AS101" s="3"/>
      <c r="AT101" s="3"/>
      <c r="AU101" s="3"/>
      <c r="AV101" s="3"/>
      <c r="AW101" s="3"/>
      <c r="AX101" s="3"/>
      <c r="AY101" s="3"/>
      <c r="AZ101" s="3"/>
      <c r="BA101" s="3"/>
      <c r="BB101" s="3"/>
      <c r="BC101" s="3" t="s">
        <v>742</v>
      </c>
      <c r="BD101" s="3" t="s">
        <v>715</v>
      </c>
    </row>
    <row r="102" spans="2:56" x14ac:dyDescent="0.2">
      <c r="B102" s="3" t="s">
        <v>791</v>
      </c>
      <c r="C102" s="3" t="s">
        <v>173</v>
      </c>
      <c r="D102" s="3" t="s">
        <v>497</v>
      </c>
      <c r="E102" t="str">
        <f t="shared" si="1"/>
        <v>z0062721</v>
      </c>
      <c r="F102" s="3" t="s">
        <v>648</v>
      </c>
      <c r="G102" s="3"/>
      <c r="H102" s="3"/>
      <c r="I102" s="3" t="s">
        <v>1638</v>
      </c>
      <c r="J102" s="3"/>
      <c r="K102" s="3"/>
      <c r="L102" s="3" t="s">
        <v>680</v>
      </c>
      <c r="M102" s="3" t="s">
        <v>681</v>
      </c>
      <c r="N102" s="4">
        <v>23778</v>
      </c>
      <c r="O102" s="4">
        <v>62721</v>
      </c>
      <c r="P102" s="4">
        <v>1</v>
      </c>
      <c r="Q102" s="3" t="s">
        <v>759</v>
      </c>
      <c r="R102" s="4">
        <v>32</v>
      </c>
      <c r="S102" s="4">
        <v>1</v>
      </c>
      <c r="T102" s="4">
        <v>0</v>
      </c>
      <c r="U102" s="3"/>
      <c r="V102" s="3" t="s">
        <v>792</v>
      </c>
      <c r="W102" s="5">
        <v>39058</v>
      </c>
      <c r="X102" s="4">
        <v>2006</v>
      </c>
      <c r="Y102" s="4">
        <v>12</v>
      </c>
      <c r="Z102" s="4">
        <v>7</v>
      </c>
      <c r="AA102" s="3" t="s">
        <v>738</v>
      </c>
      <c r="AC102" t="s">
        <v>1364</v>
      </c>
      <c r="AD102" t="s">
        <v>1364</v>
      </c>
      <c r="AE102" t="s">
        <v>1365</v>
      </c>
      <c r="AF102" s="3" t="s">
        <v>739</v>
      </c>
      <c r="AG102" s="3"/>
      <c r="AH102" s="3"/>
      <c r="AI102" s="3"/>
      <c r="AJ102" s="3" t="s">
        <v>740</v>
      </c>
      <c r="AK102" s="3" t="s">
        <v>741</v>
      </c>
      <c r="AL102" s="3" t="s">
        <v>686</v>
      </c>
      <c r="AM102" s="3" t="s">
        <v>687</v>
      </c>
      <c r="AN102" s="3" t="s">
        <v>687</v>
      </c>
      <c r="AO102" s="3"/>
      <c r="AP102" s="3"/>
      <c r="AQ102" s="3"/>
      <c r="AR102" s="3"/>
      <c r="AS102" s="3"/>
      <c r="AT102" s="3"/>
      <c r="AU102" s="3"/>
      <c r="AV102" s="3"/>
      <c r="AW102" s="3"/>
      <c r="AX102" s="3"/>
      <c r="AY102" s="3"/>
      <c r="AZ102" s="3"/>
      <c r="BA102" s="3"/>
      <c r="BB102" s="3"/>
      <c r="BC102" s="3" t="s">
        <v>742</v>
      </c>
      <c r="BD102" s="3" t="s">
        <v>715</v>
      </c>
    </row>
    <row r="103" spans="2:56" x14ac:dyDescent="0.2">
      <c r="B103" s="3" t="s">
        <v>793</v>
      </c>
      <c r="C103" s="3" t="s">
        <v>174</v>
      </c>
      <c r="D103" s="3" t="s">
        <v>498</v>
      </c>
      <c r="E103" t="str">
        <f t="shared" si="1"/>
        <v>z0062724</v>
      </c>
      <c r="F103" s="3" t="s">
        <v>648</v>
      </c>
      <c r="G103" s="3"/>
      <c r="H103" s="3"/>
      <c r="I103" s="3" t="s">
        <v>1638</v>
      </c>
      <c r="J103" s="3"/>
      <c r="K103" s="3"/>
      <c r="L103" s="3" t="s">
        <v>680</v>
      </c>
      <c r="M103" s="3" t="s">
        <v>681</v>
      </c>
      <c r="N103" s="4">
        <v>23781</v>
      </c>
      <c r="O103" s="4">
        <v>62724</v>
      </c>
      <c r="P103" s="4">
        <v>1</v>
      </c>
      <c r="Q103" s="3" t="s">
        <v>789</v>
      </c>
      <c r="R103" s="4">
        <v>32</v>
      </c>
      <c r="S103" s="4">
        <v>1</v>
      </c>
      <c r="T103" s="4">
        <v>0</v>
      </c>
      <c r="U103" s="3"/>
      <c r="V103" s="3" t="s">
        <v>794</v>
      </c>
      <c r="W103" s="5">
        <v>38699</v>
      </c>
      <c r="X103" s="4">
        <v>2005</v>
      </c>
      <c r="Y103" s="4">
        <v>12</v>
      </c>
      <c r="Z103" s="4">
        <v>13</v>
      </c>
      <c r="AA103" s="3" t="s">
        <v>738</v>
      </c>
      <c r="AC103" t="s">
        <v>1364</v>
      </c>
      <c r="AD103" t="s">
        <v>1364</v>
      </c>
      <c r="AE103" t="s">
        <v>1365</v>
      </c>
      <c r="AF103" s="3" t="s">
        <v>739</v>
      </c>
      <c r="AG103" s="3"/>
      <c r="AH103" s="3"/>
      <c r="AI103" s="3"/>
      <c r="AJ103" s="3" t="s">
        <v>740</v>
      </c>
      <c r="AK103" s="3" t="s">
        <v>741</v>
      </c>
      <c r="AL103" s="3" t="s">
        <v>686</v>
      </c>
      <c r="AM103" s="3" t="s">
        <v>687</v>
      </c>
      <c r="AN103" s="3" t="s">
        <v>687</v>
      </c>
      <c r="AO103" s="3"/>
      <c r="AP103" s="3"/>
      <c r="AQ103" s="3"/>
      <c r="AR103" s="3"/>
      <c r="AS103" s="3"/>
      <c r="AT103" s="3"/>
      <c r="AU103" s="3"/>
      <c r="AV103" s="3"/>
      <c r="AW103" s="3"/>
      <c r="AX103" s="3"/>
      <c r="AY103" s="3"/>
      <c r="AZ103" s="3"/>
      <c r="BA103" s="3"/>
      <c r="BB103" s="3"/>
      <c r="BC103" s="3" t="s">
        <v>742</v>
      </c>
      <c r="BD103" s="3" t="s">
        <v>715</v>
      </c>
    </row>
    <row r="104" spans="2:56" x14ac:dyDescent="0.2">
      <c r="B104" s="3" t="s">
        <v>795</v>
      </c>
      <c r="C104" s="3" t="s">
        <v>175</v>
      </c>
      <c r="D104" s="3" t="s">
        <v>499</v>
      </c>
      <c r="E104" t="str">
        <f t="shared" si="1"/>
        <v>z0062725</v>
      </c>
      <c r="F104" s="3" t="s">
        <v>648</v>
      </c>
      <c r="G104" s="3"/>
      <c r="H104" s="3"/>
      <c r="I104" s="3" t="s">
        <v>1638</v>
      </c>
      <c r="J104" s="3"/>
      <c r="K104" s="3"/>
      <c r="L104" s="3" t="s">
        <v>680</v>
      </c>
      <c r="M104" s="3" t="s">
        <v>681</v>
      </c>
      <c r="N104" s="4">
        <v>23782</v>
      </c>
      <c r="O104" s="4">
        <v>62725</v>
      </c>
      <c r="P104" s="4">
        <v>1</v>
      </c>
      <c r="Q104" s="3" t="s">
        <v>690</v>
      </c>
      <c r="R104" s="3"/>
      <c r="S104" s="4">
        <v>1</v>
      </c>
      <c r="T104" s="4">
        <v>0</v>
      </c>
      <c r="U104" s="3"/>
      <c r="V104" s="3" t="s">
        <v>796</v>
      </c>
      <c r="W104" s="3" t="s">
        <v>797</v>
      </c>
      <c r="X104" s="4">
        <v>2006</v>
      </c>
      <c r="Y104" s="4">
        <v>1</v>
      </c>
      <c r="Z104" s="3"/>
      <c r="AA104" s="3" t="s">
        <v>738</v>
      </c>
      <c r="AC104" t="s">
        <v>1364</v>
      </c>
      <c r="AD104" t="s">
        <v>1364</v>
      </c>
      <c r="AE104" t="s">
        <v>1365</v>
      </c>
      <c r="AF104" s="3" t="s">
        <v>739</v>
      </c>
      <c r="AG104" s="3"/>
      <c r="AH104" s="3"/>
      <c r="AI104" s="3"/>
      <c r="AJ104" s="3" t="s">
        <v>740</v>
      </c>
      <c r="AK104" s="3" t="s">
        <v>741</v>
      </c>
      <c r="AL104" s="3" t="s">
        <v>686</v>
      </c>
      <c r="AM104" s="3" t="s">
        <v>687</v>
      </c>
      <c r="AN104" s="3" t="s">
        <v>687</v>
      </c>
      <c r="AO104" s="3"/>
      <c r="AP104" s="3"/>
      <c r="AQ104" s="3"/>
      <c r="AR104" s="3"/>
      <c r="AS104" s="3"/>
      <c r="AT104" s="3"/>
      <c r="AU104" s="3"/>
      <c r="AV104" s="3"/>
      <c r="AW104" s="3"/>
      <c r="AX104" s="3"/>
      <c r="AY104" s="3"/>
      <c r="AZ104" s="3"/>
      <c r="BA104" s="3"/>
      <c r="BB104" s="3"/>
      <c r="BC104" s="3" t="s">
        <v>742</v>
      </c>
      <c r="BD104" s="3" t="s">
        <v>715</v>
      </c>
    </row>
    <row r="105" spans="2:56" x14ac:dyDescent="0.2">
      <c r="B105" s="3" t="s">
        <v>798</v>
      </c>
      <c r="C105" s="3" t="s">
        <v>176</v>
      </c>
      <c r="D105" s="3" t="s">
        <v>500</v>
      </c>
      <c r="E105" t="str">
        <f t="shared" si="1"/>
        <v>z0062726</v>
      </c>
      <c r="F105" s="3" t="s">
        <v>648</v>
      </c>
      <c r="G105" s="3"/>
      <c r="H105" s="3"/>
      <c r="I105" s="3" t="s">
        <v>1638</v>
      </c>
      <c r="J105" s="3"/>
      <c r="K105" s="3"/>
      <c r="L105" s="3" t="s">
        <v>680</v>
      </c>
      <c r="M105" s="3" t="s">
        <v>681</v>
      </c>
      <c r="N105" s="4">
        <v>23783</v>
      </c>
      <c r="O105" s="4">
        <v>62726</v>
      </c>
      <c r="P105" s="4">
        <v>1</v>
      </c>
      <c r="Q105" s="3" t="s">
        <v>690</v>
      </c>
      <c r="R105" s="4">
        <v>32</v>
      </c>
      <c r="S105" s="4">
        <v>2</v>
      </c>
      <c r="T105" s="4">
        <v>0</v>
      </c>
      <c r="U105" s="3"/>
      <c r="V105" s="3" t="s">
        <v>799</v>
      </c>
      <c r="W105" s="5">
        <v>38699</v>
      </c>
      <c r="X105" s="4">
        <v>2005</v>
      </c>
      <c r="Y105" s="4">
        <v>12</v>
      </c>
      <c r="Z105" s="4">
        <v>13</v>
      </c>
      <c r="AA105" s="3" t="s">
        <v>738</v>
      </c>
      <c r="AC105" t="s">
        <v>1364</v>
      </c>
      <c r="AD105" t="s">
        <v>1364</v>
      </c>
      <c r="AE105" t="s">
        <v>1365</v>
      </c>
      <c r="AF105" s="3" t="s">
        <v>739</v>
      </c>
      <c r="AG105" s="3"/>
      <c r="AH105" s="3"/>
      <c r="AI105" s="3"/>
      <c r="AJ105" s="3" t="s">
        <v>740</v>
      </c>
      <c r="AK105" s="3" t="s">
        <v>741</v>
      </c>
      <c r="AL105" s="3" t="s">
        <v>686</v>
      </c>
      <c r="AM105" s="3" t="s">
        <v>687</v>
      </c>
      <c r="AN105" s="3" t="s">
        <v>687</v>
      </c>
      <c r="AO105" s="3"/>
      <c r="AP105" s="3"/>
      <c r="AQ105" s="3"/>
      <c r="AR105" s="3"/>
      <c r="AS105" s="3"/>
      <c r="AT105" s="3"/>
      <c r="AU105" s="3"/>
      <c r="AV105" s="3"/>
      <c r="AW105" s="3"/>
      <c r="AX105" s="3"/>
      <c r="AY105" s="3"/>
      <c r="AZ105" s="3"/>
      <c r="BA105" s="3"/>
      <c r="BB105" s="3"/>
      <c r="BC105" s="3" t="s">
        <v>742</v>
      </c>
      <c r="BD105" s="3" t="s">
        <v>715</v>
      </c>
    </row>
    <row r="106" spans="2:56" x14ac:dyDescent="0.2">
      <c r="B106" s="3" t="s">
        <v>800</v>
      </c>
      <c r="C106" s="3" t="s">
        <v>177</v>
      </c>
      <c r="D106" s="3" t="s">
        <v>501</v>
      </c>
      <c r="E106" t="str">
        <f t="shared" si="1"/>
        <v>z0062726</v>
      </c>
      <c r="F106" s="3" t="s">
        <v>648</v>
      </c>
      <c r="G106" s="3"/>
      <c r="H106" s="3"/>
      <c r="I106" s="3" t="s">
        <v>1638</v>
      </c>
      <c r="J106" s="3"/>
      <c r="K106" s="3"/>
      <c r="L106" s="3" t="s">
        <v>680</v>
      </c>
      <c r="M106" s="3" t="s">
        <v>681</v>
      </c>
      <c r="N106" s="4">
        <v>23783</v>
      </c>
      <c r="O106" s="4">
        <v>62726</v>
      </c>
      <c r="P106" s="4">
        <v>1</v>
      </c>
      <c r="Q106" s="3" t="s">
        <v>690</v>
      </c>
      <c r="R106" s="4">
        <v>32</v>
      </c>
      <c r="S106" s="4">
        <v>2</v>
      </c>
      <c r="T106" s="4">
        <v>0</v>
      </c>
      <c r="U106" s="3"/>
      <c r="V106" s="3" t="s">
        <v>799</v>
      </c>
      <c r="W106" s="5">
        <v>38699</v>
      </c>
      <c r="X106" s="4">
        <v>2005</v>
      </c>
      <c r="Y106" s="4">
        <v>12</v>
      </c>
      <c r="Z106" s="4">
        <v>13</v>
      </c>
      <c r="AA106" s="3" t="s">
        <v>738</v>
      </c>
      <c r="AC106" t="s">
        <v>1364</v>
      </c>
      <c r="AD106" t="s">
        <v>1364</v>
      </c>
      <c r="AE106" t="s">
        <v>1365</v>
      </c>
      <c r="AF106" s="3" t="s">
        <v>739</v>
      </c>
      <c r="AG106" s="3"/>
      <c r="AH106" s="3"/>
      <c r="AI106" s="3"/>
      <c r="AJ106" s="3" t="s">
        <v>740</v>
      </c>
      <c r="AK106" s="3" t="s">
        <v>741</v>
      </c>
      <c r="AL106" s="3" t="s">
        <v>686</v>
      </c>
      <c r="AM106" s="3" t="s">
        <v>687</v>
      </c>
      <c r="AN106" s="3" t="s">
        <v>687</v>
      </c>
      <c r="AO106" s="3"/>
      <c r="AP106" s="3"/>
      <c r="AQ106" s="3"/>
      <c r="AR106" s="3"/>
      <c r="AS106" s="3"/>
      <c r="AT106" s="3"/>
      <c r="AU106" s="3"/>
      <c r="AV106" s="3"/>
      <c r="AW106" s="3"/>
      <c r="AX106" s="3"/>
      <c r="AY106" s="3"/>
      <c r="AZ106" s="3"/>
      <c r="BA106" s="3"/>
      <c r="BB106" s="3"/>
      <c r="BC106" s="3" t="s">
        <v>742</v>
      </c>
      <c r="BD106" s="3" t="s">
        <v>715</v>
      </c>
    </row>
    <row r="107" spans="2:56" x14ac:dyDescent="0.2">
      <c r="B107" s="3" t="s">
        <v>801</v>
      </c>
      <c r="C107" s="3" t="s">
        <v>178</v>
      </c>
      <c r="D107" s="3" t="s">
        <v>502</v>
      </c>
      <c r="E107" t="str">
        <f t="shared" si="1"/>
        <v>z0062727</v>
      </c>
      <c r="F107" s="3" t="s">
        <v>648</v>
      </c>
      <c r="G107" s="3"/>
      <c r="H107" s="3"/>
      <c r="I107" s="3" t="s">
        <v>1638</v>
      </c>
      <c r="J107" s="3"/>
      <c r="K107" s="3"/>
      <c r="L107" s="3" t="s">
        <v>680</v>
      </c>
      <c r="M107" s="3" t="s">
        <v>681</v>
      </c>
      <c r="N107" s="4">
        <v>23784</v>
      </c>
      <c r="O107" s="4">
        <v>62727</v>
      </c>
      <c r="P107" s="4">
        <v>1</v>
      </c>
      <c r="Q107" s="3" t="s">
        <v>690</v>
      </c>
      <c r="R107" s="4">
        <v>32</v>
      </c>
      <c r="S107" s="4">
        <v>1</v>
      </c>
      <c r="T107" s="4">
        <v>0</v>
      </c>
      <c r="U107" s="3"/>
      <c r="V107" s="3" t="s">
        <v>802</v>
      </c>
      <c r="W107" s="5">
        <v>39090</v>
      </c>
      <c r="X107" s="4">
        <v>2007</v>
      </c>
      <c r="Y107" s="4">
        <v>1</v>
      </c>
      <c r="Z107" s="4">
        <v>8</v>
      </c>
      <c r="AA107" s="3" t="s">
        <v>738</v>
      </c>
      <c r="AC107" t="s">
        <v>1364</v>
      </c>
      <c r="AD107" t="s">
        <v>1364</v>
      </c>
      <c r="AE107" t="s">
        <v>1365</v>
      </c>
      <c r="AF107" s="3" t="s">
        <v>739</v>
      </c>
      <c r="AG107" s="3"/>
      <c r="AH107" s="3"/>
      <c r="AI107" s="3"/>
      <c r="AJ107" s="3" t="s">
        <v>740</v>
      </c>
      <c r="AK107" s="3" t="s">
        <v>741</v>
      </c>
      <c r="AL107" s="3" t="s">
        <v>686</v>
      </c>
      <c r="AM107" s="3" t="s">
        <v>687</v>
      </c>
      <c r="AN107" s="3" t="s">
        <v>687</v>
      </c>
      <c r="AO107" s="3"/>
      <c r="AP107" s="3"/>
      <c r="AQ107" s="3"/>
      <c r="AR107" s="3"/>
      <c r="AS107" s="3"/>
      <c r="AT107" s="3"/>
      <c r="AU107" s="3"/>
      <c r="AV107" s="3"/>
      <c r="AW107" s="3"/>
      <c r="AX107" s="3"/>
      <c r="AY107" s="3"/>
      <c r="AZ107" s="3"/>
      <c r="BA107" s="3"/>
      <c r="BB107" s="3"/>
      <c r="BC107" s="3" t="s">
        <v>742</v>
      </c>
      <c r="BD107" s="3" t="s">
        <v>715</v>
      </c>
    </row>
    <row r="108" spans="2:56" x14ac:dyDescent="0.2">
      <c r="B108" s="3" t="s">
        <v>803</v>
      </c>
      <c r="C108" s="3" t="s">
        <v>179</v>
      </c>
      <c r="D108" s="3" t="s">
        <v>503</v>
      </c>
      <c r="E108" t="str">
        <f t="shared" si="1"/>
        <v>z0062729</v>
      </c>
      <c r="F108" s="3" t="s">
        <v>648</v>
      </c>
      <c r="G108" s="3"/>
      <c r="H108" s="3"/>
      <c r="I108" s="3" t="s">
        <v>1638</v>
      </c>
      <c r="J108" s="3"/>
      <c r="K108" s="3"/>
      <c r="L108" s="3" t="s">
        <v>680</v>
      </c>
      <c r="M108" s="3" t="s">
        <v>681</v>
      </c>
      <c r="N108" s="4">
        <v>23786</v>
      </c>
      <c r="O108" s="4">
        <v>62729</v>
      </c>
      <c r="P108" s="4">
        <v>1</v>
      </c>
      <c r="Q108" s="3" t="s">
        <v>690</v>
      </c>
      <c r="R108" s="4">
        <v>32</v>
      </c>
      <c r="S108" s="4">
        <v>1</v>
      </c>
      <c r="T108" s="4">
        <v>0</v>
      </c>
      <c r="U108" s="3"/>
      <c r="V108" s="3" t="s">
        <v>804</v>
      </c>
      <c r="W108" s="5">
        <v>39090</v>
      </c>
      <c r="X108" s="4">
        <v>2007</v>
      </c>
      <c r="Y108" s="4">
        <v>1</v>
      </c>
      <c r="Z108" s="4">
        <v>8</v>
      </c>
      <c r="AA108" s="3" t="s">
        <v>738</v>
      </c>
      <c r="AC108" t="s">
        <v>1364</v>
      </c>
      <c r="AD108" t="s">
        <v>1364</v>
      </c>
      <c r="AE108" t="s">
        <v>1365</v>
      </c>
      <c r="AF108" s="3" t="s">
        <v>739</v>
      </c>
      <c r="AG108" s="3"/>
      <c r="AH108" s="3"/>
      <c r="AI108" s="3"/>
      <c r="AJ108" s="3" t="s">
        <v>740</v>
      </c>
      <c r="AK108" s="3" t="s">
        <v>741</v>
      </c>
      <c r="AL108" s="3" t="s">
        <v>686</v>
      </c>
      <c r="AM108" s="3" t="s">
        <v>687</v>
      </c>
      <c r="AN108" s="3" t="s">
        <v>687</v>
      </c>
      <c r="AO108" s="3"/>
      <c r="AP108" s="3"/>
      <c r="AQ108" s="3"/>
      <c r="AR108" s="3"/>
      <c r="AS108" s="3"/>
      <c r="AT108" s="3"/>
      <c r="AU108" s="3"/>
      <c r="AV108" s="3"/>
      <c r="AW108" s="3"/>
      <c r="AX108" s="3"/>
      <c r="AY108" s="3"/>
      <c r="AZ108" s="3"/>
      <c r="BA108" s="3"/>
      <c r="BB108" s="3"/>
      <c r="BC108" s="3" t="s">
        <v>742</v>
      </c>
      <c r="BD108" s="3" t="s">
        <v>715</v>
      </c>
    </row>
    <row r="109" spans="2:56" x14ac:dyDescent="0.2">
      <c r="B109" s="3" t="s">
        <v>805</v>
      </c>
      <c r="C109" s="3" t="s">
        <v>180</v>
      </c>
      <c r="D109" s="3" t="s">
        <v>504</v>
      </c>
      <c r="E109" t="str">
        <f t="shared" si="1"/>
        <v>z0062730</v>
      </c>
      <c r="F109" s="3" t="s">
        <v>648</v>
      </c>
      <c r="G109" s="3"/>
      <c r="H109" s="3"/>
      <c r="I109" s="3" t="s">
        <v>1638</v>
      </c>
      <c r="J109" s="3"/>
      <c r="K109" s="3"/>
      <c r="L109" s="3" t="s">
        <v>680</v>
      </c>
      <c r="M109" s="3" t="s">
        <v>681</v>
      </c>
      <c r="N109" s="4">
        <v>23787</v>
      </c>
      <c r="O109" s="4">
        <v>62730</v>
      </c>
      <c r="P109" s="4">
        <v>1</v>
      </c>
      <c r="Q109" s="3" t="s">
        <v>690</v>
      </c>
      <c r="R109" s="4">
        <v>32</v>
      </c>
      <c r="S109" s="4">
        <v>1</v>
      </c>
      <c r="T109" s="4">
        <v>0</v>
      </c>
      <c r="U109" s="3"/>
      <c r="V109" s="3" t="s">
        <v>806</v>
      </c>
      <c r="W109" s="5">
        <v>38697</v>
      </c>
      <c r="X109" s="4">
        <v>2005</v>
      </c>
      <c r="Y109" s="4">
        <v>12</v>
      </c>
      <c r="Z109" s="4">
        <v>11</v>
      </c>
      <c r="AA109" s="3" t="s">
        <v>738</v>
      </c>
      <c r="AC109" t="s">
        <v>1364</v>
      </c>
      <c r="AD109" t="s">
        <v>1364</v>
      </c>
      <c r="AE109" t="s">
        <v>1365</v>
      </c>
      <c r="AF109" s="3" t="s">
        <v>739</v>
      </c>
      <c r="AG109" s="3"/>
      <c r="AH109" s="3"/>
      <c r="AI109" s="3"/>
      <c r="AJ109" s="3" t="s">
        <v>740</v>
      </c>
      <c r="AK109" s="3" t="s">
        <v>741</v>
      </c>
      <c r="AL109" s="3" t="s">
        <v>686</v>
      </c>
      <c r="AM109" s="3" t="s">
        <v>687</v>
      </c>
      <c r="AN109" s="3" t="s">
        <v>687</v>
      </c>
      <c r="AO109" s="3"/>
      <c r="AP109" s="3"/>
      <c r="AQ109" s="3"/>
      <c r="AR109" s="3"/>
      <c r="AS109" s="3"/>
      <c r="AT109" s="3"/>
      <c r="AU109" s="3"/>
      <c r="AV109" s="3"/>
      <c r="AW109" s="3"/>
      <c r="AX109" s="3"/>
      <c r="AY109" s="3"/>
      <c r="AZ109" s="3"/>
      <c r="BA109" s="3"/>
      <c r="BB109" s="3"/>
      <c r="BC109" s="3" t="s">
        <v>742</v>
      </c>
      <c r="BD109" s="3" t="s">
        <v>715</v>
      </c>
    </row>
    <row r="110" spans="2:56" x14ac:dyDescent="0.2">
      <c r="B110" s="3" t="s">
        <v>807</v>
      </c>
      <c r="C110" s="3" t="s">
        <v>181</v>
      </c>
      <c r="D110" s="3" t="s">
        <v>505</v>
      </c>
      <c r="E110" t="str">
        <f t="shared" si="1"/>
        <v>z0062731</v>
      </c>
      <c r="F110" s="3" t="s">
        <v>648</v>
      </c>
      <c r="G110" s="3"/>
      <c r="H110" s="3"/>
      <c r="I110" s="3" t="s">
        <v>1638</v>
      </c>
      <c r="J110" s="3"/>
      <c r="K110" s="3"/>
      <c r="L110" s="3" t="s">
        <v>680</v>
      </c>
      <c r="M110" s="3" t="s">
        <v>681</v>
      </c>
      <c r="N110" s="4">
        <v>23788</v>
      </c>
      <c r="O110" s="4">
        <v>62731</v>
      </c>
      <c r="P110" s="4">
        <v>1</v>
      </c>
      <c r="Q110" s="3" t="s">
        <v>690</v>
      </c>
      <c r="R110" s="4">
        <v>32</v>
      </c>
      <c r="S110" s="4">
        <v>1</v>
      </c>
      <c r="T110" s="4">
        <v>0</v>
      </c>
      <c r="U110" s="3"/>
      <c r="V110" s="3" t="s">
        <v>808</v>
      </c>
      <c r="W110" s="5">
        <v>38700</v>
      </c>
      <c r="X110" s="4">
        <v>2005</v>
      </c>
      <c r="Y110" s="4">
        <v>12</v>
      </c>
      <c r="Z110" s="4">
        <v>14</v>
      </c>
      <c r="AA110" s="3" t="s">
        <v>738</v>
      </c>
      <c r="AC110" t="s">
        <v>1364</v>
      </c>
      <c r="AD110" t="s">
        <v>1364</v>
      </c>
      <c r="AE110" t="s">
        <v>1365</v>
      </c>
      <c r="AF110" s="3" t="s">
        <v>739</v>
      </c>
      <c r="AG110" s="3"/>
      <c r="AH110" s="3"/>
      <c r="AI110" s="3"/>
      <c r="AJ110" s="3" t="s">
        <v>740</v>
      </c>
      <c r="AK110" s="3" t="s">
        <v>741</v>
      </c>
      <c r="AL110" s="3" t="s">
        <v>686</v>
      </c>
      <c r="AM110" s="3" t="s">
        <v>687</v>
      </c>
      <c r="AN110" s="3" t="s">
        <v>687</v>
      </c>
      <c r="AO110" s="3"/>
      <c r="AP110" s="3"/>
      <c r="AQ110" s="3"/>
      <c r="AR110" s="3"/>
      <c r="AS110" s="3"/>
      <c r="AT110" s="3"/>
      <c r="AU110" s="3"/>
      <c r="AV110" s="3"/>
      <c r="AW110" s="3"/>
      <c r="AX110" s="3"/>
      <c r="AY110" s="3"/>
      <c r="AZ110" s="3"/>
      <c r="BA110" s="3"/>
      <c r="BB110" s="3"/>
      <c r="BC110" s="3" t="s">
        <v>742</v>
      </c>
      <c r="BD110" s="3" t="s">
        <v>715</v>
      </c>
    </row>
    <row r="111" spans="2:56" x14ac:dyDescent="0.2">
      <c r="B111" s="3" t="s">
        <v>809</v>
      </c>
      <c r="C111" s="3" t="s">
        <v>182</v>
      </c>
      <c r="D111" s="3" t="s">
        <v>506</v>
      </c>
      <c r="E111" t="str">
        <f t="shared" si="1"/>
        <v>z0062735</v>
      </c>
      <c r="F111" s="3" t="s">
        <v>648</v>
      </c>
      <c r="G111" s="3"/>
      <c r="H111" s="3"/>
      <c r="I111" s="3" t="s">
        <v>1638</v>
      </c>
      <c r="J111" s="3"/>
      <c r="K111" s="3"/>
      <c r="L111" s="3" t="s">
        <v>680</v>
      </c>
      <c r="M111" s="3" t="s">
        <v>681</v>
      </c>
      <c r="N111" s="4">
        <v>23792</v>
      </c>
      <c r="O111" s="4">
        <v>62735</v>
      </c>
      <c r="P111" s="4">
        <v>1</v>
      </c>
      <c r="Q111" s="3" t="s">
        <v>690</v>
      </c>
      <c r="R111" s="4">
        <v>32</v>
      </c>
      <c r="S111" s="4">
        <v>1</v>
      </c>
      <c r="T111" s="4">
        <v>0</v>
      </c>
      <c r="U111" s="3"/>
      <c r="V111" s="3" t="s">
        <v>810</v>
      </c>
      <c r="W111" s="5">
        <v>38737</v>
      </c>
      <c r="X111" s="4">
        <v>2006</v>
      </c>
      <c r="Y111" s="4">
        <v>1</v>
      </c>
      <c r="Z111" s="4">
        <v>20</v>
      </c>
      <c r="AA111" s="3" t="s">
        <v>738</v>
      </c>
      <c r="AC111" t="s">
        <v>1364</v>
      </c>
      <c r="AD111" t="s">
        <v>1364</v>
      </c>
      <c r="AE111" t="s">
        <v>1365</v>
      </c>
      <c r="AF111" s="3" t="s">
        <v>739</v>
      </c>
      <c r="AG111" s="3"/>
      <c r="AH111" s="3"/>
      <c r="AI111" s="3"/>
      <c r="AJ111" s="3" t="s">
        <v>740</v>
      </c>
      <c r="AK111" s="3" t="s">
        <v>741</v>
      </c>
      <c r="AL111" s="3" t="s">
        <v>686</v>
      </c>
      <c r="AM111" s="3" t="s">
        <v>687</v>
      </c>
      <c r="AN111" s="3" t="s">
        <v>687</v>
      </c>
      <c r="AO111" s="3"/>
      <c r="AP111" s="3"/>
      <c r="AQ111" s="3"/>
      <c r="AR111" s="3"/>
      <c r="AS111" s="3"/>
      <c r="AT111" s="3"/>
      <c r="AU111" s="3"/>
      <c r="AV111" s="3"/>
      <c r="AW111" s="3"/>
      <c r="AX111" s="3"/>
      <c r="AY111" s="3"/>
      <c r="AZ111" s="3"/>
      <c r="BA111" s="3"/>
      <c r="BB111" s="3"/>
      <c r="BC111" s="3" t="s">
        <v>742</v>
      </c>
      <c r="BD111" s="3" t="s">
        <v>715</v>
      </c>
    </row>
    <row r="112" spans="2:56" x14ac:dyDescent="0.2">
      <c r="B112" s="3" t="s">
        <v>811</v>
      </c>
      <c r="C112" s="3" t="s">
        <v>183</v>
      </c>
      <c r="D112" s="3" t="s">
        <v>507</v>
      </c>
      <c r="E112" t="str">
        <f t="shared" si="1"/>
        <v>z0062736</v>
      </c>
      <c r="F112" s="3" t="s">
        <v>648</v>
      </c>
      <c r="G112" s="3"/>
      <c r="H112" s="3"/>
      <c r="I112" s="3" t="s">
        <v>1638</v>
      </c>
      <c r="J112" s="3"/>
      <c r="K112" s="3"/>
      <c r="L112" s="3" t="s">
        <v>680</v>
      </c>
      <c r="M112" s="3" t="s">
        <v>681</v>
      </c>
      <c r="N112" s="4">
        <v>23793</v>
      </c>
      <c r="O112" s="4">
        <v>62736</v>
      </c>
      <c r="P112" s="4">
        <v>1</v>
      </c>
      <c r="Q112" s="3" t="s">
        <v>690</v>
      </c>
      <c r="R112" s="4">
        <v>32</v>
      </c>
      <c r="S112" s="4">
        <v>1</v>
      </c>
      <c r="T112" s="4">
        <v>0</v>
      </c>
      <c r="U112" s="3"/>
      <c r="V112" s="3" t="s">
        <v>812</v>
      </c>
      <c r="W112" s="5">
        <v>39070</v>
      </c>
      <c r="X112" s="4">
        <v>2006</v>
      </c>
      <c r="Y112" s="4">
        <v>12</v>
      </c>
      <c r="Z112" s="4">
        <v>19</v>
      </c>
      <c r="AA112" s="3" t="s">
        <v>738</v>
      </c>
      <c r="AC112" t="s">
        <v>1364</v>
      </c>
      <c r="AD112" t="s">
        <v>1364</v>
      </c>
      <c r="AE112" t="s">
        <v>1365</v>
      </c>
      <c r="AF112" s="3" t="s">
        <v>739</v>
      </c>
      <c r="AG112" s="3"/>
      <c r="AH112" s="3"/>
      <c r="AI112" s="3"/>
      <c r="AJ112" s="3" t="s">
        <v>740</v>
      </c>
      <c r="AK112" s="3" t="s">
        <v>741</v>
      </c>
      <c r="AL112" s="3" t="s">
        <v>686</v>
      </c>
      <c r="AM112" s="3" t="s">
        <v>687</v>
      </c>
      <c r="AN112" s="3" t="s">
        <v>687</v>
      </c>
      <c r="AO112" s="3"/>
      <c r="AP112" s="3"/>
      <c r="AQ112" s="3"/>
      <c r="AR112" s="3"/>
      <c r="AS112" s="3"/>
      <c r="AT112" s="3"/>
      <c r="AU112" s="3"/>
      <c r="AV112" s="3"/>
      <c r="AW112" s="3"/>
      <c r="AX112" s="3"/>
      <c r="AY112" s="3"/>
      <c r="AZ112" s="3"/>
      <c r="BA112" s="3"/>
      <c r="BB112" s="3"/>
      <c r="BC112" s="3" t="s">
        <v>742</v>
      </c>
      <c r="BD112" s="3" t="s">
        <v>715</v>
      </c>
    </row>
    <row r="113" spans="2:56" x14ac:dyDescent="0.2">
      <c r="B113" s="3" t="s">
        <v>813</v>
      </c>
      <c r="C113" s="3" t="s">
        <v>185</v>
      </c>
      <c r="D113" s="3" t="s">
        <v>509</v>
      </c>
      <c r="E113" t="str">
        <f t="shared" si="1"/>
        <v>z0062738</v>
      </c>
      <c r="F113" s="3" t="s">
        <v>648</v>
      </c>
      <c r="G113" s="3"/>
      <c r="H113" s="3"/>
      <c r="I113" s="3" t="s">
        <v>1638</v>
      </c>
      <c r="J113" s="3"/>
      <c r="K113" s="3"/>
      <c r="L113" s="3" t="s">
        <v>680</v>
      </c>
      <c r="M113" s="3" t="s">
        <v>681</v>
      </c>
      <c r="N113" s="4">
        <v>23795</v>
      </c>
      <c r="O113" s="4">
        <v>62738</v>
      </c>
      <c r="P113" s="4">
        <v>1</v>
      </c>
      <c r="Q113" s="3" t="s">
        <v>690</v>
      </c>
      <c r="R113" s="4">
        <v>30</v>
      </c>
      <c r="S113" s="4">
        <v>1</v>
      </c>
      <c r="T113" s="4">
        <v>0</v>
      </c>
      <c r="U113" s="3"/>
      <c r="V113" s="3" t="s">
        <v>814</v>
      </c>
      <c r="W113" s="5">
        <v>39052</v>
      </c>
      <c r="X113" s="4">
        <v>2006</v>
      </c>
      <c r="Y113" s="4">
        <v>12</v>
      </c>
      <c r="Z113" s="4">
        <v>1</v>
      </c>
      <c r="AA113" s="3" t="s">
        <v>738</v>
      </c>
      <c r="AC113" t="s">
        <v>1364</v>
      </c>
      <c r="AD113" t="s">
        <v>1364</v>
      </c>
      <c r="AE113" t="s">
        <v>1365</v>
      </c>
      <c r="AF113" s="3" t="s">
        <v>739</v>
      </c>
      <c r="AG113" s="3"/>
      <c r="AH113" s="3"/>
      <c r="AI113" s="3"/>
      <c r="AJ113" s="3" t="s">
        <v>740</v>
      </c>
      <c r="AK113" s="3" t="s">
        <v>741</v>
      </c>
      <c r="AL113" s="3" t="s">
        <v>686</v>
      </c>
      <c r="AM113" s="3" t="s">
        <v>687</v>
      </c>
      <c r="AN113" s="3" t="s">
        <v>687</v>
      </c>
      <c r="AO113" s="3"/>
      <c r="AP113" s="3"/>
      <c r="AQ113" s="3"/>
      <c r="AR113" s="3"/>
      <c r="AS113" s="3"/>
      <c r="AT113" s="3"/>
      <c r="AU113" s="3"/>
      <c r="AV113" s="3"/>
      <c r="AW113" s="3"/>
      <c r="AX113" s="3"/>
      <c r="AY113" s="3"/>
      <c r="AZ113" s="3"/>
      <c r="BA113" s="3"/>
      <c r="BB113" s="3"/>
      <c r="BC113" s="3" t="s">
        <v>742</v>
      </c>
      <c r="BD113" s="3" t="s">
        <v>715</v>
      </c>
    </row>
    <row r="114" spans="2:56" x14ac:dyDescent="0.2">
      <c r="B114" s="3" t="s">
        <v>815</v>
      </c>
      <c r="C114" s="3" t="s">
        <v>186</v>
      </c>
      <c r="D114" s="3" t="s">
        <v>510</v>
      </c>
      <c r="E114" t="str">
        <f t="shared" si="1"/>
        <v>z0062740</v>
      </c>
      <c r="F114" s="3" t="s">
        <v>648</v>
      </c>
      <c r="G114" s="3"/>
      <c r="H114" s="3"/>
      <c r="I114" s="3" t="s">
        <v>1638</v>
      </c>
      <c r="J114" s="3"/>
      <c r="K114" s="3"/>
      <c r="L114" s="3" t="s">
        <v>680</v>
      </c>
      <c r="M114" s="3" t="s">
        <v>681</v>
      </c>
      <c r="N114" s="4">
        <v>23797</v>
      </c>
      <c r="O114" s="4">
        <v>62740</v>
      </c>
      <c r="P114" s="4">
        <v>1</v>
      </c>
      <c r="Q114" s="3" t="s">
        <v>690</v>
      </c>
      <c r="R114" s="4">
        <v>32</v>
      </c>
      <c r="S114" s="4">
        <v>1</v>
      </c>
      <c r="T114" s="4">
        <v>0</v>
      </c>
      <c r="U114" s="3"/>
      <c r="V114" s="3" t="s">
        <v>816</v>
      </c>
      <c r="W114" s="5">
        <v>39096</v>
      </c>
      <c r="X114" s="4">
        <v>2007</v>
      </c>
      <c r="Y114" s="4">
        <v>1</v>
      </c>
      <c r="Z114" s="4">
        <v>14</v>
      </c>
      <c r="AA114" s="3" t="s">
        <v>738</v>
      </c>
      <c r="AC114" t="s">
        <v>1364</v>
      </c>
      <c r="AD114" t="s">
        <v>1364</v>
      </c>
      <c r="AE114" t="s">
        <v>1365</v>
      </c>
      <c r="AF114" s="3" t="s">
        <v>739</v>
      </c>
      <c r="AG114" s="3"/>
      <c r="AH114" s="3"/>
      <c r="AI114" s="3"/>
      <c r="AJ114" s="3" t="s">
        <v>740</v>
      </c>
      <c r="AK114" s="3" t="s">
        <v>741</v>
      </c>
      <c r="AL114" s="3" t="s">
        <v>686</v>
      </c>
      <c r="AM114" s="3" t="s">
        <v>687</v>
      </c>
      <c r="AN114" s="3" t="s">
        <v>687</v>
      </c>
      <c r="AO114" s="3"/>
      <c r="AP114" s="3"/>
      <c r="AQ114" s="3"/>
      <c r="AR114" s="3"/>
      <c r="AS114" s="3"/>
      <c r="AT114" s="3"/>
      <c r="AU114" s="3"/>
      <c r="AV114" s="3"/>
      <c r="AW114" s="3"/>
      <c r="AX114" s="3"/>
      <c r="AY114" s="3"/>
      <c r="AZ114" s="3"/>
      <c r="BA114" s="3"/>
      <c r="BB114" s="3"/>
      <c r="BC114" s="3" t="s">
        <v>742</v>
      </c>
      <c r="BD114" s="3" t="s">
        <v>715</v>
      </c>
    </row>
    <row r="115" spans="2:56" x14ac:dyDescent="0.2">
      <c r="B115" s="3" t="s">
        <v>817</v>
      </c>
      <c r="C115" s="3" t="s">
        <v>191</v>
      </c>
      <c r="D115" s="3" t="s">
        <v>515</v>
      </c>
      <c r="E115" t="str">
        <f t="shared" si="1"/>
        <v>z0062744</v>
      </c>
      <c r="F115" s="3" t="s">
        <v>648</v>
      </c>
      <c r="G115" s="3"/>
      <c r="H115" s="3"/>
      <c r="I115" s="3" t="s">
        <v>1638</v>
      </c>
      <c r="J115" s="3"/>
      <c r="K115" s="3"/>
      <c r="L115" s="3" t="s">
        <v>680</v>
      </c>
      <c r="M115" s="3" t="s">
        <v>681</v>
      </c>
      <c r="N115" s="4">
        <v>23801</v>
      </c>
      <c r="O115" s="4">
        <v>62744</v>
      </c>
      <c r="P115" s="4">
        <v>1</v>
      </c>
      <c r="Q115" s="3" t="s">
        <v>690</v>
      </c>
      <c r="R115" s="4">
        <v>32</v>
      </c>
      <c r="S115" s="4">
        <v>1</v>
      </c>
      <c r="T115" s="4">
        <v>0</v>
      </c>
      <c r="U115" s="3"/>
      <c r="V115" s="3" t="s">
        <v>818</v>
      </c>
      <c r="W115" s="5">
        <v>39103</v>
      </c>
      <c r="X115" s="4">
        <v>2007</v>
      </c>
      <c r="Y115" s="4">
        <v>1</v>
      </c>
      <c r="Z115" s="4">
        <v>21</v>
      </c>
      <c r="AA115" s="3" t="s">
        <v>738</v>
      </c>
      <c r="AC115" t="s">
        <v>1364</v>
      </c>
      <c r="AD115" t="s">
        <v>1364</v>
      </c>
      <c r="AE115" t="s">
        <v>1365</v>
      </c>
      <c r="AF115" s="3" t="s">
        <v>739</v>
      </c>
      <c r="AG115" s="3"/>
      <c r="AH115" s="3"/>
      <c r="AI115" s="3"/>
      <c r="AJ115" s="3" t="s">
        <v>740</v>
      </c>
      <c r="AK115" s="3" t="s">
        <v>741</v>
      </c>
      <c r="AL115" s="3" t="s">
        <v>686</v>
      </c>
      <c r="AM115" s="3" t="s">
        <v>687</v>
      </c>
      <c r="AN115" s="3" t="s">
        <v>687</v>
      </c>
      <c r="AO115" s="3"/>
      <c r="AP115" s="3"/>
      <c r="AQ115" s="3"/>
      <c r="AR115" s="3"/>
      <c r="AS115" s="3"/>
      <c r="AT115" s="3"/>
      <c r="AU115" s="3"/>
      <c r="AV115" s="3"/>
      <c r="AW115" s="3"/>
      <c r="AX115" s="3"/>
      <c r="AY115" s="3"/>
      <c r="AZ115" s="3"/>
      <c r="BA115" s="3"/>
      <c r="BB115" s="3"/>
      <c r="BC115" s="3" t="s">
        <v>742</v>
      </c>
      <c r="BD115" s="3" t="s">
        <v>715</v>
      </c>
    </row>
    <row r="116" spans="2:56" x14ac:dyDescent="0.2">
      <c r="B116" s="3" t="s">
        <v>819</v>
      </c>
      <c r="C116" s="3" t="s">
        <v>192</v>
      </c>
      <c r="D116" s="3" t="s">
        <v>516</v>
      </c>
      <c r="E116" t="str">
        <f t="shared" si="1"/>
        <v>z0062751</v>
      </c>
      <c r="F116" s="3" t="s">
        <v>648</v>
      </c>
      <c r="G116" s="3"/>
      <c r="H116" s="3"/>
      <c r="I116" s="3" t="s">
        <v>1638</v>
      </c>
      <c r="J116" s="3"/>
      <c r="K116" s="3"/>
      <c r="L116" s="3" t="s">
        <v>680</v>
      </c>
      <c r="M116" s="3" t="s">
        <v>681</v>
      </c>
      <c r="N116" s="4">
        <v>23808</v>
      </c>
      <c r="O116" s="4">
        <v>62751</v>
      </c>
      <c r="P116" s="4">
        <v>1</v>
      </c>
      <c r="Q116" s="3" t="s">
        <v>690</v>
      </c>
      <c r="R116" s="4">
        <v>30</v>
      </c>
      <c r="S116" s="4">
        <v>2</v>
      </c>
      <c r="T116" s="4">
        <v>0</v>
      </c>
      <c r="U116" s="3"/>
      <c r="V116" s="3" t="s">
        <v>820</v>
      </c>
      <c r="W116" s="5">
        <v>38765</v>
      </c>
      <c r="X116" s="4">
        <v>2006</v>
      </c>
      <c r="Y116" s="4">
        <v>2</v>
      </c>
      <c r="Z116" s="4">
        <v>17</v>
      </c>
      <c r="AA116" s="3" t="s">
        <v>738</v>
      </c>
      <c r="AC116" t="s">
        <v>1364</v>
      </c>
      <c r="AD116" t="s">
        <v>1364</v>
      </c>
      <c r="AE116" t="s">
        <v>1365</v>
      </c>
      <c r="AF116" s="3" t="s">
        <v>739</v>
      </c>
      <c r="AG116" s="3"/>
      <c r="AH116" s="3"/>
      <c r="AI116" s="3"/>
      <c r="AJ116" s="3" t="s">
        <v>740</v>
      </c>
      <c r="AK116" s="3" t="s">
        <v>741</v>
      </c>
      <c r="AL116" s="3" t="s">
        <v>686</v>
      </c>
      <c r="AM116" s="3" t="s">
        <v>687</v>
      </c>
      <c r="AN116" s="3" t="s">
        <v>687</v>
      </c>
      <c r="AO116" s="3"/>
      <c r="AP116" s="3"/>
      <c r="AQ116" s="3"/>
      <c r="AR116" s="3"/>
      <c r="AS116" s="3"/>
      <c r="AT116" s="3"/>
      <c r="AU116" s="3"/>
      <c r="AV116" s="3"/>
      <c r="AW116" s="3"/>
      <c r="AX116" s="3"/>
      <c r="AY116" s="3"/>
      <c r="AZ116" s="3"/>
      <c r="BA116" s="3"/>
      <c r="BB116" s="3"/>
      <c r="BC116" s="3" t="s">
        <v>742</v>
      </c>
      <c r="BD116" s="3" t="s">
        <v>715</v>
      </c>
    </row>
    <row r="117" spans="2:56" x14ac:dyDescent="0.2">
      <c r="B117" s="3" t="s">
        <v>821</v>
      </c>
      <c r="C117" s="3" t="s">
        <v>193</v>
      </c>
      <c r="D117" s="3" t="s">
        <v>517</v>
      </c>
      <c r="E117" t="str">
        <f t="shared" si="1"/>
        <v>z0062751</v>
      </c>
      <c r="F117" s="3" t="s">
        <v>648</v>
      </c>
      <c r="G117" s="3"/>
      <c r="H117" s="3"/>
      <c r="I117" s="3" t="s">
        <v>1638</v>
      </c>
      <c r="J117" s="3"/>
      <c r="K117" s="3"/>
      <c r="L117" s="3" t="s">
        <v>680</v>
      </c>
      <c r="M117" s="3" t="s">
        <v>681</v>
      </c>
      <c r="N117" s="4">
        <v>23808</v>
      </c>
      <c r="O117" s="4">
        <v>62751</v>
      </c>
      <c r="P117" s="4">
        <v>1</v>
      </c>
      <c r="Q117" s="3" t="s">
        <v>690</v>
      </c>
      <c r="R117" s="4">
        <v>30</v>
      </c>
      <c r="S117" s="4">
        <v>2</v>
      </c>
      <c r="T117" s="4">
        <v>0</v>
      </c>
      <c r="U117" s="3"/>
      <c r="V117" s="3" t="s">
        <v>820</v>
      </c>
      <c r="W117" s="5">
        <v>38765</v>
      </c>
      <c r="X117" s="4">
        <v>2006</v>
      </c>
      <c r="Y117" s="4">
        <v>2</v>
      </c>
      <c r="Z117" s="4">
        <v>17</v>
      </c>
      <c r="AA117" s="3" t="s">
        <v>738</v>
      </c>
      <c r="AC117" t="s">
        <v>1364</v>
      </c>
      <c r="AD117" t="s">
        <v>1364</v>
      </c>
      <c r="AE117" t="s">
        <v>1365</v>
      </c>
      <c r="AF117" s="3" t="s">
        <v>739</v>
      </c>
      <c r="AG117" s="3"/>
      <c r="AH117" s="3"/>
      <c r="AI117" s="3"/>
      <c r="AJ117" s="3" t="s">
        <v>740</v>
      </c>
      <c r="AK117" s="3" t="s">
        <v>741</v>
      </c>
      <c r="AL117" s="3" t="s">
        <v>686</v>
      </c>
      <c r="AM117" s="3" t="s">
        <v>687</v>
      </c>
      <c r="AN117" s="3" t="s">
        <v>687</v>
      </c>
      <c r="AO117" s="3"/>
      <c r="AP117" s="3"/>
      <c r="AQ117" s="3"/>
      <c r="AR117" s="3"/>
      <c r="AS117" s="3"/>
      <c r="AT117" s="3"/>
      <c r="AU117" s="3"/>
      <c r="AV117" s="3"/>
      <c r="AW117" s="3"/>
      <c r="AX117" s="3"/>
      <c r="AY117" s="3"/>
      <c r="AZ117" s="3"/>
      <c r="BA117" s="3"/>
      <c r="BB117" s="3"/>
      <c r="BC117" s="3" t="s">
        <v>742</v>
      </c>
      <c r="BD117" s="3" t="s">
        <v>715</v>
      </c>
    </row>
    <row r="118" spans="2:56" x14ac:dyDescent="0.2">
      <c r="B118" s="3" t="s">
        <v>822</v>
      </c>
      <c r="C118" s="3" t="s">
        <v>196</v>
      </c>
      <c r="D118" s="3" t="s">
        <v>520</v>
      </c>
      <c r="E118" t="str">
        <f t="shared" si="1"/>
        <v>z0062757</v>
      </c>
      <c r="F118" s="3" t="s">
        <v>648</v>
      </c>
      <c r="G118" s="3"/>
      <c r="H118" s="3"/>
      <c r="I118" s="3" t="s">
        <v>1638</v>
      </c>
      <c r="J118" s="3"/>
      <c r="K118" s="3"/>
      <c r="L118" s="3" t="s">
        <v>680</v>
      </c>
      <c r="M118" s="3" t="s">
        <v>681</v>
      </c>
      <c r="N118" s="4">
        <v>23814</v>
      </c>
      <c r="O118" s="4">
        <v>62757</v>
      </c>
      <c r="P118" s="4">
        <v>1</v>
      </c>
      <c r="Q118" s="3" t="s">
        <v>725</v>
      </c>
      <c r="R118" s="4">
        <v>33</v>
      </c>
      <c r="S118" s="4">
        <v>1</v>
      </c>
      <c r="T118" s="4">
        <v>0</v>
      </c>
      <c r="U118" s="3"/>
      <c r="V118" s="3" t="s">
        <v>823</v>
      </c>
      <c r="W118" s="5">
        <v>38731</v>
      </c>
      <c r="X118" s="4">
        <v>2006</v>
      </c>
      <c r="Y118" s="4">
        <v>1</v>
      </c>
      <c r="Z118" s="4">
        <v>14</v>
      </c>
      <c r="AA118" s="3" t="s">
        <v>738</v>
      </c>
      <c r="AC118" t="s">
        <v>1364</v>
      </c>
      <c r="AD118" t="s">
        <v>1364</v>
      </c>
      <c r="AE118" t="s">
        <v>1365</v>
      </c>
      <c r="AF118" s="3" t="s">
        <v>739</v>
      </c>
      <c r="AG118" s="3"/>
      <c r="AH118" s="3"/>
      <c r="AI118" s="3"/>
      <c r="AJ118" s="3" t="s">
        <v>740</v>
      </c>
      <c r="AK118" s="3" t="s">
        <v>741</v>
      </c>
      <c r="AL118" s="3" t="s">
        <v>686</v>
      </c>
      <c r="AM118" s="3" t="s">
        <v>687</v>
      </c>
      <c r="AN118" s="3" t="s">
        <v>687</v>
      </c>
      <c r="AO118" s="3"/>
      <c r="AP118" s="3"/>
      <c r="AQ118" s="3"/>
      <c r="AR118" s="3"/>
      <c r="AS118" s="3"/>
      <c r="AT118" s="3"/>
      <c r="AU118" s="3"/>
      <c r="AV118" s="3"/>
      <c r="AW118" s="3"/>
      <c r="AX118" s="3"/>
      <c r="AY118" s="3"/>
      <c r="AZ118" s="3"/>
      <c r="BA118" s="3"/>
      <c r="BB118" s="3"/>
      <c r="BC118" s="3" t="s">
        <v>742</v>
      </c>
      <c r="BD118" s="3" t="s">
        <v>715</v>
      </c>
    </row>
    <row r="119" spans="2:56" x14ac:dyDescent="0.2">
      <c r="B119" s="3" t="s">
        <v>824</v>
      </c>
      <c r="C119" s="3" t="s">
        <v>199</v>
      </c>
      <c r="D119" s="3" t="s">
        <v>523</v>
      </c>
      <c r="E119" t="str">
        <f t="shared" si="1"/>
        <v>z0062762</v>
      </c>
      <c r="F119" s="3" t="s">
        <v>648</v>
      </c>
      <c r="G119" s="3"/>
      <c r="H119" s="3"/>
      <c r="I119" s="3" t="s">
        <v>1638</v>
      </c>
      <c r="J119" s="3"/>
      <c r="K119" s="3"/>
      <c r="L119" s="3" t="s">
        <v>680</v>
      </c>
      <c r="M119" s="3" t="s">
        <v>681</v>
      </c>
      <c r="N119" s="4">
        <v>23819</v>
      </c>
      <c r="O119" s="4">
        <v>62762</v>
      </c>
      <c r="P119" s="4">
        <v>1</v>
      </c>
      <c r="Q119" s="3" t="s">
        <v>725</v>
      </c>
      <c r="R119" s="4">
        <v>32</v>
      </c>
      <c r="S119" s="4">
        <v>1</v>
      </c>
      <c r="T119" s="4">
        <v>0</v>
      </c>
      <c r="U119" s="3"/>
      <c r="V119" s="3" t="s">
        <v>825</v>
      </c>
      <c r="W119" s="5">
        <v>39086</v>
      </c>
      <c r="X119" s="4">
        <v>2007</v>
      </c>
      <c r="Y119" s="4">
        <v>1</v>
      </c>
      <c r="Z119" s="4">
        <v>4</v>
      </c>
      <c r="AA119" s="3" t="s">
        <v>738</v>
      </c>
      <c r="AC119" t="s">
        <v>1364</v>
      </c>
      <c r="AD119" t="s">
        <v>1364</v>
      </c>
      <c r="AE119" t="s">
        <v>1365</v>
      </c>
      <c r="AF119" s="3" t="s">
        <v>739</v>
      </c>
      <c r="AG119" s="3"/>
      <c r="AH119" s="3"/>
      <c r="AI119" s="3"/>
      <c r="AJ119" s="3" t="s">
        <v>740</v>
      </c>
      <c r="AK119" s="3" t="s">
        <v>741</v>
      </c>
      <c r="AL119" s="3" t="s">
        <v>686</v>
      </c>
      <c r="AM119" s="3" t="s">
        <v>687</v>
      </c>
      <c r="AN119" s="3" t="s">
        <v>687</v>
      </c>
      <c r="AO119" s="3"/>
      <c r="AP119" s="3"/>
      <c r="AQ119" s="3"/>
      <c r="AR119" s="3"/>
      <c r="AS119" s="3"/>
      <c r="AT119" s="3"/>
      <c r="AU119" s="3"/>
      <c r="AV119" s="3"/>
      <c r="AW119" s="3"/>
      <c r="AX119" s="3"/>
      <c r="AY119" s="3"/>
      <c r="AZ119" s="3"/>
      <c r="BA119" s="3"/>
      <c r="BB119" s="3"/>
      <c r="BC119" s="3" t="s">
        <v>742</v>
      </c>
      <c r="BD119" s="3" t="s">
        <v>715</v>
      </c>
    </row>
    <row r="120" spans="2:56" x14ac:dyDescent="0.2">
      <c r="B120" s="3" t="s">
        <v>826</v>
      </c>
      <c r="C120" s="3" t="s">
        <v>200</v>
      </c>
      <c r="D120" s="3" t="s">
        <v>524</v>
      </c>
      <c r="E120" t="str">
        <f t="shared" si="1"/>
        <v>z0062763</v>
      </c>
      <c r="F120" s="3" t="s">
        <v>648</v>
      </c>
      <c r="G120" s="3"/>
      <c r="H120" s="3"/>
      <c r="I120" s="3" t="s">
        <v>1638</v>
      </c>
      <c r="J120" s="3"/>
      <c r="K120" s="3"/>
      <c r="L120" s="3" t="s">
        <v>680</v>
      </c>
      <c r="M120" s="3" t="s">
        <v>681</v>
      </c>
      <c r="N120" s="4">
        <v>23820</v>
      </c>
      <c r="O120" s="4">
        <v>62763</v>
      </c>
      <c r="P120" s="4">
        <v>1</v>
      </c>
      <c r="Q120" s="3" t="s">
        <v>690</v>
      </c>
      <c r="R120" s="4">
        <v>32</v>
      </c>
      <c r="S120" s="4">
        <v>1</v>
      </c>
      <c r="T120" s="4">
        <v>0</v>
      </c>
      <c r="U120" s="3"/>
      <c r="V120" s="3" t="s">
        <v>827</v>
      </c>
      <c r="W120" s="5">
        <v>39090</v>
      </c>
      <c r="X120" s="4">
        <v>2007</v>
      </c>
      <c r="Y120" s="4">
        <v>1</v>
      </c>
      <c r="Z120" s="4">
        <v>8</v>
      </c>
      <c r="AA120" s="3" t="s">
        <v>738</v>
      </c>
      <c r="AC120" t="s">
        <v>1364</v>
      </c>
      <c r="AD120" t="s">
        <v>1364</v>
      </c>
      <c r="AE120" t="s">
        <v>1365</v>
      </c>
      <c r="AF120" s="3" t="s">
        <v>739</v>
      </c>
      <c r="AG120" s="3"/>
      <c r="AH120" s="3"/>
      <c r="AI120" s="3"/>
      <c r="AJ120" s="3" t="s">
        <v>740</v>
      </c>
      <c r="AK120" s="3" t="s">
        <v>741</v>
      </c>
      <c r="AL120" s="3" t="s">
        <v>686</v>
      </c>
      <c r="AM120" s="3" t="s">
        <v>687</v>
      </c>
      <c r="AN120" s="3" t="s">
        <v>687</v>
      </c>
      <c r="AO120" s="3"/>
      <c r="AP120" s="3"/>
      <c r="AQ120" s="3"/>
      <c r="AR120" s="3"/>
      <c r="AS120" s="3"/>
      <c r="AT120" s="3"/>
      <c r="AU120" s="3"/>
      <c r="AV120" s="3"/>
      <c r="AW120" s="3"/>
      <c r="AX120" s="3"/>
      <c r="AY120" s="3"/>
      <c r="AZ120" s="3"/>
      <c r="BA120" s="3"/>
      <c r="BB120" s="3"/>
      <c r="BC120" s="3" t="s">
        <v>742</v>
      </c>
      <c r="BD120" s="3" t="s">
        <v>715</v>
      </c>
    </row>
    <row r="121" spans="2:56" x14ac:dyDescent="0.2">
      <c r="B121" s="3" t="s">
        <v>828</v>
      </c>
      <c r="C121" s="3" t="s">
        <v>201</v>
      </c>
      <c r="D121" s="3" t="s">
        <v>525</v>
      </c>
      <c r="E121" t="str">
        <f t="shared" si="1"/>
        <v>z0062764</v>
      </c>
      <c r="F121" s="3" t="s">
        <v>648</v>
      </c>
      <c r="G121" s="3"/>
      <c r="H121" s="3"/>
      <c r="I121" s="3" t="s">
        <v>1638</v>
      </c>
      <c r="J121" s="3"/>
      <c r="K121" s="3"/>
      <c r="L121" s="3" t="s">
        <v>680</v>
      </c>
      <c r="M121" s="3" t="s">
        <v>681</v>
      </c>
      <c r="N121" s="4">
        <v>23821</v>
      </c>
      <c r="O121" s="4">
        <v>62764</v>
      </c>
      <c r="P121" s="4">
        <v>1</v>
      </c>
      <c r="Q121" s="3" t="s">
        <v>690</v>
      </c>
      <c r="R121" s="4">
        <v>30</v>
      </c>
      <c r="S121" s="4">
        <v>1</v>
      </c>
      <c r="T121" s="4">
        <v>0</v>
      </c>
      <c r="U121" s="3"/>
      <c r="V121" s="3" t="s">
        <v>829</v>
      </c>
      <c r="W121" s="5">
        <v>39095</v>
      </c>
      <c r="X121" s="4">
        <v>2007</v>
      </c>
      <c r="Y121" s="4">
        <v>1</v>
      </c>
      <c r="Z121" s="4">
        <v>13</v>
      </c>
      <c r="AA121" s="3" t="s">
        <v>738</v>
      </c>
      <c r="AC121" t="s">
        <v>1364</v>
      </c>
      <c r="AD121" t="s">
        <v>1364</v>
      </c>
      <c r="AE121" t="s">
        <v>1365</v>
      </c>
      <c r="AF121" s="3" t="s">
        <v>739</v>
      </c>
      <c r="AG121" s="3"/>
      <c r="AH121" s="3"/>
      <c r="AI121" s="3"/>
      <c r="AJ121" s="3" t="s">
        <v>740</v>
      </c>
      <c r="AK121" s="3" t="s">
        <v>741</v>
      </c>
      <c r="AL121" s="3" t="s">
        <v>686</v>
      </c>
      <c r="AM121" s="3" t="s">
        <v>687</v>
      </c>
      <c r="AN121" s="3" t="s">
        <v>687</v>
      </c>
      <c r="AO121" s="3"/>
      <c r="AP121" s="3"/>
      <c r="AQ121" s="3"/>
      <c r="AR121" s="3"/>
      <c r="AS121" s="3"/>
      <c r="AT121" s="3"/>
      <c r="AU121" s="3"/>
      <c r="AV121" s="3"/>
      <c r="AW121" s="3"/>
      <c r="AX121" s="3"/>
      <c r="AY121" s="3"/>
      <c r="AZ121" s="3"/>
      <c r="BA121" s="3"/>
      <c r="BB121" s="3"/>
      <c r="BC121" s="3" t="s">
        <v>742</v>
      </c>
      <c r="BD121" s="3" t="s">
        <v>715</v>
      </c>
    </row>
    <row r="122" spans="2:56" x14ac:dyDescent="0.2">
      <c r="B122" s="3" t="s">
        <v>830</v>
      </c>
      <c r="C122" s="3" t="s">
        <v>202</v>
      </c>
      <c r="D122" s="3" t="s">
        <v>526</v>
      </c>
      <c r="E122" t="str">
        <f t="shared" si="1"/>
        <v>z0062765</v>
      </c>
      <c r="F122" s="3" t="s">
        <v>648</v>
      </c>
      <c r="G122" s="3"/>
      <c r="H122" s="3"/>
      <c r="I122" s="3" t="s">
        <v>1638</v>
      </c>
      <c r="J122" s="3"/>
      <c r="K122" s="3"/>
      <c r="L122" s="3" t="s">
        <v>680</v>
      </c>
      <c r="M122" s="3" t="s">
        <v>681</v>
      </c>
      <c r="N122" s="4">
        <v>23822</v>
      </c>
      <c r="O122" s="4">
        <v>62765</v>
      </c>
      <c r="P122" s="4">
        <v>1</v>
      </c>
      <c r="Q122" s="3" t="s">
        <v>692</v>
      </c>
      <c r="R122" s="4">
        <v>30</v>
      </c>
      <c r="S122" s="4">
        <v>1</v>
      </c>
      <c r="T122" s="4">
        <v>0</v>
      </c>
      <c r="U122" s="3"/>
      <c r="V122" s="3" t="s">
        <v>831</v>
      </c>
      <c r="W122" s="5">
        <v>38731</v>
      </c>
      <c r="X122" s="4">
        <v>2006</v>
      </c>
      <c r="Y122" s="4">
        <v>1</v>
      </c>
      <c r="Z122" s="4">
        <v>14</v>
      </c>
      <c r="AA122" s="3" t="s">
        <v>738</v>
      </c>
      <c r="AC122" t="s">
        <v>1364</v>
      </c>
      <c r="AD122" t="s">
        <v>1364</v>
      </c>
      <c r="AE122" t="s">
        <v>1365</v>
      </c>
      <c r="AF122" s="3" t="s">
        <v>739</v>
      </c>
      <c r="AG122" s="3"/>
      <c r="AH122" s="3"/>
      <c r="AI122" s="3"/>
      <c r="AJ122" s="3" t="s">
        <v>740</v>
      </c>
      <c r="AK122" s="3" t="s">
        <v>741</v>
      </c>
      <c r="AL122" s="3" t="s">
        <v>686</v>
      </c>
      <c r="AM122" s="3" t="s">
        <v>687</v>
      </c>
      <c r="AN122" s="3" t="s">
        <v>687</v>
      </c>
      <c r="AO122" s="3"/>
      <c r="AP122" s="3"/>
      <c r="AQ122" s="3"/>
      <c r="AR122" s="3"/>
      <c r="AS122" s="3"/>
      <c r="AT122" s="3"/>
      <c r="AU122" s="3"/>
      <c r="AV122" s="3"/>
      <c r="AW122" s="3"/>
      <c r="AX122" s="3"/>
      <c r="AY122" s="3"/>
      <c r="AZ122" s="3"/>
      <c r="BA122" s="3"/>
      <c r="BB122" s="3"/>
      <c r="BC122" s="3" t="s">
        <v>742</v>
      </c>
      <c r="BD122" s="3" t="s">
        <v>715</v>
      </c>
    </row>
    <row r="123" spans="2:56" x14ac:dyDescent="0.2">
      <c r="B123" s="3" t="s">
        <v>832</v>
      </c>
      <c r="C123" s="3" t="s">
        <v>205</v>
      </c>
      <c r="D123" s="3" t="s">
        <v>529</v>
      </c>
      <c r="E123" t="str">
        <f t="shared" si="1"/>
        <v>z0062767</v>
      </c>
      <c r="F123" s="3" t="s">
        <v>648</v>
      </c>
      <c r="G123" s="3"/>
      <c r="H123" s="3"/>
      <c r="I123" s="3" t="s">
        <v>1638</v>
      </c>
      <c r="J123" s="3"/>
      <c r="K123" s="3"/>
      <c r="L123" s="3" t="s">
        <v>680</v>
      </c>
      <c r="M123" s="3" t="s">
        <v>681</v>
      </c>
      <c r="N123" s="4">
        <v>23824</v>
      </c>
      <c r="O123" s="4">
        <v>62767</v>
      </c>
      <c r="P123" s="4">
        <v>1</v>
      </c>
      <c r="Q123" s="3" t="s">
        <v>690</v>
      </c>
      <c r="R123" s="4">
        <v>32</v>
      </c>
      <c r="S123" s="4">
        <v>1</v>
      </c>
      <c r="T123" s="4">
        <v>0</v>
      </c>
      <c r="U123" s="3"/>
      <c r="V123" s="3" t="s">
        <v>833</v>
      </c>
      <c r="W123" s="5">
        <v>38736</v>
      </c>
      <c r="X123" s="4">
        <v>2006</v>
      </c>
      <c r="Y123" s="4">
        <v>1</v>
      </c>
      <c r="Z123" s="4">
        <v>19</v>
      </c>
      <c r="AA123" s="3" t="s">
        <v>738</v>
      </c>
      <c r="AC123" t="s">
        <v>1364</v>
      </c>
      <c r="AD123" t="s">
        <v>1364</v>
      </c>
      <c r="AE123" t="s">
        <v>1365</v>
      </c>
      <c r="AF123" s="3" t="s">
        <v>739</v>
      </c>
      <c r="AG123" s="3"/>
      <c r="AH123" s="3"/>
      <c r="AI123" s="3"/>
      <c r="AJ123" s="3" t="s">
        <v>740</v>
      </c>
      <c r="AK123" s="3" t="s">
        <v>741</v>
      </c>
      <c r="AL123" s="3" t="s">
        <v>686</v>
      </c>
      <c r="AM123" s="3" t="s">
        <v>687</v>
      </c>
      <c r="AN123" s="3" t="s">
        <v>687</v>
      </c>
      <c r="AO123" s="3"/>
      <c r="AP123" s="3"/>
      <c r="AQ123" s="3"/>
      <c r="AR123" s="3"/>
      <c r="AS123" s="3"/>
      <c r="AT123" s="3"/>
      <c r="AU123" s="3"/>
      <c r="AV123" s="3"/>
      <c r="AW123" s="3"/>
      <c r="AX123" s="3"/>
      <c r="AY123" s="3"/>
      <c r="AZ123" s="3"/>
      <c r="BA123" s="3"/>
      <c r="BB123" s="3"/>
      <c r="BC123" s="3" t="s">
        <v>742</v>
      </c>
      <c r="BD123" s="3" t="s">
        <v>715</v>
      </c>
    </row>
    <row r="124" spans="2:56" x14ac:dyDescent="0.2">
      <c r="B124" s="3" t="s">
        <v>834</v>
      </c>
      <c r="C124" s="3" t="s">
        <v>206</v>
      </c>
      <c r="D124" s="3" t="s">
        <v>530</v>
      </c>
      <c r="E124" t="str">
        <f t="shared" si="1"/>
        <v>z0062769</v>
      </c>
      <c r="F124" s="3" t="s">
        <v>648</v>
      </c>
      <c r="G124" s="3"/>
      <c r="H124" s="3"/>
      <c r="I124" s="3" t="s">
        <v>1638</v>
      </c>
      <c r="J124" s="3"/>
      <c r="K124" s="3"/>
      <c r="L124" s="3" t="s">
        <v>680</v>
      </c>
      <c r="M124" s="3" t="s">
        <v>681</v>
      </c>
      <c r="N124" s="4">
        <v>23826</v>
      </c>
      <c r="O124" s="4">
        <v>62769</v>
      </c>
      <c r="P124" s="4">
        <v>1</v>
      </c>
      <c r="Q124" s="3" t="s">
        <v>690</v>
      </c>
      <c r="R124" s="4">
        <v>32</v>
      </c>
      <c r="S124" s="4">
        <v>1</v>
      </c>
      <c r="T124" s="4">
        <v>0</v>
      </c>
      <c r="U124" s="3"/>
      <c r="V124" s="3" t="s">
        <v>835</v>
      </c>
      <c r="W124" s="5">
        <v>39100</v>
      </c>
      <c r="X124" s="4">
        <v>2007</v>
      </c>
      <c r="Y124" s="4">
        <v>1</v>
      </c>
      <c r="Z124" s="4">
        <v>18</v>
      </c>
      <c r="AA124" s="3" t="s">
        <v>738</v>
      </c>
      <c r="AC124" t="s">
        <v>1364</v>
      </c>
      <c r="AD124" t="s">
        <v>1364</v>
      </c>
      <c r="AE124" t="s">
        <v>1365</v>
      </c>
      <c r="AF124" s="3" t="s">
        <v>739</v>
      </c>
      <c r="AG124" s="3"/>
      <c r="AH124" s="3"/>
      <c r="AI124" s="3"/>
      <c r="AJ124" s="3" t="s">
        <v>740</v>
      </c>
      <c r="AK124" s="3" t="s">
        <v>741</v>
      </c>
      <c r="AL124" s="3" t="s">
        <v>686</v>
      </c>
      <c r="AM124" s="3" t="s">
        <v>687</v>
      </c>
      <c r="AN124" s="3" t="s">
        <v>687</v>
      </c>
      <c r="AO124" s="3"/>
      <c r="AP124" s="3"/>
      <c r="AQ124" s="3"/>
      <c r="AR124" s="3"/>
      <c r="AS124" s="3"/>
      <c r="AT124" s="3"/>
      <c r="AU124" s="3"/>
      <c r="AV124" s="3"/>
      <c r="AW124" s="3"/>
      <c r="AX124" s="3"/>
      <c r="AY124" s="3"/>
      <c r="AZ124" s="3"/>
      <c r="BA124" s="3"/>
      <c r="BB124" s="3"/>
      <c r="BC124" s="3" t="s">
        <v>742</v>
      </c>
      <c r="BD124" s="3" t="s">
        <v>715</v>
      </c>
    </row>
    <row r="125" spans="2:56" x14ac:dyDescent="0.2">
      <c r="B125" s="3" t="s">
        <v>836</v>
      </c>
      <c r="C125" s="3" t="s">
        <v>207</v>
      </c>
      <c r="D125" s="3" t="s">
        <v>531</v>
      </c>
      <c r="E125" t="str">
        <f t="shared" si="1"/>
        <v>z0062770</v>
      </c>
      <c r="F125" s="3" t="s">
        <v>648</v>
      </c>
      <c r="G125" s="3"/>
      <c r="H125" s="3"/>
      <c r="I125" s="3" t="s">
        <v>1638</v>
      </c>
      <c r="J125" s="3"/>
      <c r="K125" s="3"/>
      <c r="L125" s="3" t="s">
        <v>680</v>
      </c>
      <c r="M125" s="3" t="s">
        <v>681</v>
      </c>
      <c r="N125" s="4">
        <v>23827</v>
      </c>
      <c r="O125" s="4">
        <v>62770</v>
      </c>
      <c r="P125" s="4">
        <v>1</v>
      </c>
      <c r="Q125" s="3" t="s">
        <v>690</v>
      </c>
      <c r="R125" s="4">
        <v>32</v>
      </c>
      <c r="S125" s="4">
        <v>1</v>
      </c>
      <c r="T125" s="4">
        <v>0</v>
      </c>
      <c r="U125" s="3"/>
      <c r="V125" s="3" t="s">
        <v>837</v>
      </c>
      <c r="W125" s="5">
        <v>38695</v>
      </c>
      <c r="X125" s="4">
        <v>2005</v>
      </c>
      <c r="Y125" s="4">
        <v>12</v>
      </c>
      <c r="Z125" s="4">
        <v>9</v>
      </c>
      <c r="AA125" s="3" t="s">
        <v>738</v>
      </c>
      <c r="AC125" t="s">
        <v>1364</v>
      </c>
      <c r="AD125" t="s">
        <v>1364</v>
      </c>
      <c r="AE125" t="s">
        <v>1365</v>
      </c>
      <c r="AF125" s="3" t="s">
        <v>739</v>
      </c>
      <c r="AG125" s="3"/>
      <c r="AH125" s="3"/>
      <c r="AI125" s="3"/>
      <c r="AJ125" s="3" t="s">
        <v>740</v>
      </c>
      <c r="AK125" s="3" t="s">
        <v>741</v>
      </c>
      <c r="AL125" s="3" t="s">
        <v>686</v>
      </c>
      <c r="AM125" s="3" t="s">
        <v>687</v>
      </c>
      <c r="AN125" s="3" t="s">
        <v>687</v>
      </c>
      <c r="AO125" s="3"/>
      <c r="AP125" s="3"/>
      <c r="AQ125" s="3"/>
      <c r="AR125" s="3"/>
      <c r="AS125" s="3"/>
      <c r="AT125" s="3"/>
      <c r="AU125" s="3"/>
      <c r="AV125" s="3"/>
      <c r="AW125" s="3"/>
      <c r="AX125" s="3"/>
      <c r="AY125" s="3"/>
      <c r="AZ125" s="3"/>
      <c r="BA125" s="3"/>
      <c r="BB125" s="3"/>
      <c r="BC125" s="3" t="s">
        <v>742</v>
      </c>
      <c r="BD125" s="3" t="s">
        <v>715</v>
      </c>
    </row>
    <row r="126" spans="2:56" x14ac:dyDescent="0.2">
      <c r="B126" s="3" t="s">
        <v>838</v>
      </c>
      <c r="C126" s="3" t="s">
        <v>208</v>
      </c>
      <c r="D126" s="3" t="s">
        <v>532</v>
      </c>
      <c r="E126" t="str">
        <f t="shared" si="1"/>
        <v>z0062771</v>
      </c>
      <c r="F126" s="3" t="s">
        <v>648</v>
      </c>
      <c r="G126" s="3"/>
      <c r="H126" s="3"/>
      <c r="I126" s="3" t="s">
        <v>1638</v>
      </c>
      <c r="J126" s="3"/>
      <c r="K126" s="3"/>
      <c r="L126" s="3" t="s">
        <v>680</v>
      </c>
      <c r="M126" s="3" t="s">
        <v>681</v>
      </c>
      <c r="N126" s="4">
        <v>23828</v>
      </c>
      <c r="O126" s="4">
        <v>62771</v>
      </c>
      <c r="P126" s="4">
        <v>1</v>
      </c>
      <c r="Q126" s="3" t="s">
        <v>690</v>
      </c>
      <c r="R126" s="4">
        <v>32</v>
      </c>
      <c r="S126" s="4">
        <v>1</v>
      </c>
      <c r="T126" s="4">
        <v>0</v>
      </c>
      <c r="U126" s="3"/>
      <c r="V126" s="3" t="s">
        <v>839</v>
      </c>
      <c r="W126" s="5">
        <v>38735</v>
      </c>
      <c r="X126" s="4">
        <v>2006</v>
      </c>
      <c r="Y126" s="4">
        <v>1</v>
      </c>
      <c r="Z126" s="4">
        <v>18</v>
      </c>
      <c r="AA126" s="3" t="s">
        <v>738</v>
      </c>
      <c r="AC126" t="s">
        <v>1364</v>
      </c>
      <c r="AD126" t="s">
        <v>1364</v>
      </c>
      <c r="AE126" t="s">
        <v>1365</v>
      </c>
      <c r="AF126" s="3" t="s">
        <v>739</v>
      </c>
      <c r="AG126" s="3"/>
      <c r="AH126" s="3"/>
      <c r="AI126" s="3"/>
      <c r="AJ126" s="3" t="s">
        <v>740</v>
      </c>
      <c r="AK126" s="3" t="s">
        <v>741</v>
      </c>
      <c r="AL126" s="3" t="s">
        <v>686</v>
      </c>
      <c r="AM126" s="3" t="s">
        <v>687</v>
      </c>
      <c r="AN126" s="3" t="s">
        <v>687</v>
      </c>
      <c r="AO126" s="3"/>
      <c r="AP126" s="3"/>
      <c r="AQ126" s="3"/>
      <c r="AR126" s="3"/>
      <c r="AS126" s="3"/>
      <c r="AT126" s="3"/>
      <c r="AU126" s="3"/>
      <c r="AV126" s="3"/>
      <c r="AW126" s="3"/>
      <c r="AX126" s="3"/>
      <c r="AY126" s="3"/>
      <c r="AZ126" s="3"/>
      <c r="BA126" s="3"/>
      <c r="BB126" s="3"/>
      <c r="BC126" s="3" t="s">
        <v>742</v>
      </c>
      <c r="BD126" s="3" t="s">
        <v>715</v>
      </c>
    </row>
    <row r="127" spans="2:56" x14ac:dyDescent="0.2">
      <c r="B127" s="3" t="s">
        <v>840</v>
      </c>
      <c r="C127" s="3" t="s">
        <v>209</v>
      </c>
      <c r="D127" s="3" t="s">
        <v>533</v>
      </c>
      <c r="E127" t="str">
        <f t="shared" si="1"/>
        <v>z0062772</v>
      </c>
      <c r="F127" s="3" t="s">
        <v>648</v>
      </c>
      <c r="G127" s="3"/>
      <c r="H127" s="3"/>
      <c r="I127" s="3" t="s">
        <v>1638</v>
      </c>
      <c r="J127" s="3"/>
      <c r="K127" s="3"/>
      <c r="L127" s="3" t="s">
        <v>680</v>
      </c>
      <c r="M127" s="3" t="s">
        <v>681</v>
      </c>
      <c r="N127" s="4">
        <v>23829</v>
      </c>
      <c r="O127" s="4">
        <v>62772</v>
      </c>
      <c r="P127" s="4">
        <v>1</v>
      </c>
      <c r="Q127" s="3" t="s">
        <v>690</v>
      </c>
      <c r="R127" s="4">
        <v>32</v>
      </c>
      <c r="S127" s="4">
        <v>1</v>
      </c>
      <c r="T127" s="4">
        <v>0</v>
      </c>
      <c r="U127" s="3"/>
      <c r="V127" s="3" t="s">
        <v>841</v>
      </c>
      <c r="W127" s="5">
        <v>38764</v>
      </c>
      <c r="X127" s="4">
        <v>2006</v>
      </c>
      <c r="Y127" s="4">
        <v>2</v>
      </c>
      <c r="Z127" s="4">
        <v>16</v>
      </c>
      <c r="AA127" s="3" t="s">
        <v>738</v>
      </c>
      <c r="AC127" t="s">
        <v>1364</v>
      </c>
      <c r="AD127" t="s">
        <v>1364</v>
      </c>
      <c r="AE127" t="s">
        <v>1365</v>
      </c>
      <c r="AF127" s="3" t="s">
        <v>739</v>
      </c>
      <c r="AG127" s="3"/>
      <c r="AH127" s="3"/>
      <c r="AI127" s="3"/>
      <c r="AJ127" s="3" t="s">
        <v>740</v>
      </c>
      <c r="AK127" s="3" t="s">
        <v>741</v>
      </c>
      <c r="AL127" s="3" t="s">
        <v>686</v>
      </c>
      <c r="AM127" s="3" t="s">
        <v>687</v>
      </c>
      <c r="AN127" s="3" t="s">
        <v>687</v>
      </c>
      <c r="AO127" s="3"/>
      <c r="AP127" s="3"/>
      <c r="AQ127" s="3"/>
      <c r="AR127" s="3"/>
      <c r="AS127" s="3"/>
      <c r="AT127" s="3"/>
      <c r="AU127" s="3"/>
      <c r="AV127" s="3"/>
      <c r="AW127" s="3"/>
      <c r="AX127" s="3"/>
      <c r="AY127" s="3"/>
      <c r="AZ127" s="3"/>
      <c r="BA127" s="3"/>
      <c r="BB127" s="3"/>
      <c r="BC127" s="3" t="s">
        <v>742</v>
      </c>
      <c r="BD127" s="3" t="s">
        <v>715</v>
      </c>
    </row>
    <row r="128" spans="2:56" x14ac:dyDescent="0.2">
      <c r="B128" s="3" t="s">
        <v>842</v>
      </c>
      <c r="C128" s="3" t="s">
        <v>210</v>
      </c>
      <c r="D128" s="3" t="s">
        <v>534</v>
      </c>
      <c r="E128" t="str">
        <f t="shared" si="1"/>
        <v>z0062773</v>
      </c>
      <c r="F128" s="3" t="s">
        <v>648</v>
      </c>
      <c r="G128" s="3"/>
      <c r="H128" s="3"/>
      <c r="I128" s="3" t="s">
        <v>1638</v>
      </c>
      <c r="J128" s="3"/>
      <c r="K128" s="3"/>
      <c r="L128" s="3" t="s">
        <v>680</v>
      </c>
      <c r="M128" s="3" t="s">
        <v>681</v>
      </c>
      <c r="N128" s="4">
        <v>23830</v>
      </c>
      <c r="O128" s="4">
        <v>62773</v>
      </c>
      <c r="P128" s="4">
        <v>1</v>
      </c>
      <c r="Q128" s="3" t="s">
        <v>692</v>
      </c>
      <c r="R128" s="4">
        <v>32</v>
      </c>
      <c r="S128" s="4">
        <v>1</v>
      </c>
      <c r="T128" s="4">
        <v>0</v>
      </c>
      <c r="U128" s="3"/>
      <c r="V128" s="3" t="s">
        <v>843</v>
      </c>
      <c r="W128" s="3" t="s">
        <v>797</v>
      </c>
      <c r="X128" s="4">
        <v>2006</v>
      </c>
      <c r="Y128" s="4">
        <v>1</v>
      </c>
      <c r="Z128" s="3"/>
      <c r="AA128" s="3" t="s">
        <v>738</v>
      </c>
      <c r="AC128" t="s">
        <v>1364</v>
      </c>
      <c r="AD128" t="s">
        <v>1364</v>
      </c>
      <c r="AE128" t="s">
        <v>1365</v>
      </c>
      <c r="AF128" s="3" t="s">
        <v>739</v>
      </c>
      <c r="AG128" s="3"/>
      <c r="AH128" s="3"/>
      <c r="AI128" s="3"/>
      <c r="AJ128" s="3" t="s">
        <v>740</v>
      </c>
      <c r="AK128" s="3" t="s">
        <v>741</v>
      </c>
      <c r="AL128" s="3" t="s">
        <v>686</v>
      </c>
      <c r="AM128" s="3" t="s">
        <v>687</v>
      </c>
      <c r="AN128" s="3" t="s">
        <v>687</v>
      </c>
      <c r="AO128" s="3"/>
      <c r="AP128" s="3"/>
      <c r="AQ128" s="3"/>
      <c r="AR128" s="3"/>
      <c r="AS128" s="3"/>
      <c r="AT128" s="3"/>
      <c r="AU128" s="3"/>
      <c r="AV128" s="3"/>
      <c r="AW128" s="3"/>
      <c r="AX128" s="3"/>
      <c r="AY128" s="3"/>
      <c r="AZ128" s="3"/>
      <c r="BA128" s="3"/>
      <c r="BB128" s="3"/>
      <c r="BC128" s="3" t="s">
        <v>742</v>
      </c>
      <c r="BD128" s="3" t="s">
        <v>715</v>
      </c>
    </row>
    <row r="129" spans="1:58" x14ac:dyDescent="0.2">
      <c r="B129" s="3" t="s">
        <v>844</v>
      </c>
      <c r="C129" s="3" t="s">
        <v>211</v>
      </c>
      <c r="D129" s="3" t="s">
        <v>535</v>
      </c>
      <c r="E129" t="str">
        <f t="shared" si="1"/>
        <v>z0062775</v>
      </c>
      <c r="F129" s="3" t="s">
        <v>648</v>
      </c>
      <c r="G129" s="3"/>
      <c r="H129" s="3"/>
      <c r="I129" s="3" t="s">
        <v>1638</v>
      </c>
      <c r="J129" s="3"/>
      <c r="K129" s="3"/>
      <c r="L129" s="3" t="s">
        <v>680</v>
      </c>
      <c r="M129" s="3" t="s">
        <v>681</v>
      </c>
      <c r="N129" s="4">
        <v>23832</v>
      </c>
      <c r="O129" s="4">
        <v>62775</v>
      </c>
      <c r="P129" s="4">
        <v>1</v>
      </c>
      <c r="Q129" s="3" t="s">
        <v>690</v>
      </c>
      <c r="R129" s="4">
        <v>32</v>
      </c>
      <c r="S129" s="4">
        <v>1</v>
      </c>
      <c r="T129" s="4">
        <v>0</v>
      </c>
      <c r="U129" s="3"/>
      <c r="V129" s="3" t="s">
        <v>845</v>
      </c>
      <c r="W129" s="3" t="s">
        <v>846</v>
      </c>
      <c r="X129" s="4">
        <v>2006</v>
      </c>
      <c r="Y129" s="4">
        <v>2</v>
      </c>
      <c r="Z129" s="3"/>
      <c r="AA129" s="3" t="s">
        <v>738</v>
      </c>
      <c r="AC129" t="s">
        <v>1364</v>
      </c>
      <c r="AD129" t="s">
        <v>1364</v>
      </c>
      <c r="AE129" t="s">
        <v>1365</v>
      </c>
      <c r="AF129" s="3" t="s">
        <v>739</v>
      </c>
      <c r="AG129" s="3"/>
      <c r="AH129" s="3"/>
      <c r="AI129" s="3"/>
      <c r="AJ129" s="3" t="s">
        <v>740</v>
      </c>
      <c r="AK129" s="3" t="s">
        <v>741</v>
      </c>
      <c r="AL129" s="3" t="s">
        <v>686</v>
      </c>
      <c r="AM129" s="3" t="s">
        <v>687</v>
      </c>
      <c r="AN129" s="3" t="s">
        <v>687</v>
      </c>
      <c r="AO129" s="3"/>
      <c r="AP129" s="3"/>
      <c r="AQ129" s="3"/>
      <c r="AR129" s="3"/>
      <c r="AS129" s="3"/>
      <c r="AT129" s="3"/>
      <c r="AU129" s="3"/>
      <c r="AV129" s="3"/>
      <c r="AW129" s="3"/>
      <c r="AX129" s="3"/>
      <c r="AY129" s="3"/>
      <c r="AZ129" s="3"/>
      <c r="BA129" s="3"/>
      <c r="BB129" s="3"/>
      <c r="BC129" s="3" t="s">
        <v>742</v>
      </c>
      <c r="BD129" s="3" t="s">
        <v>715</v>
      </c>
    </row>
    <row r="130" spans="1:58" x14ac:dyDescent="0.2">
      <c r="B130" s="3" t="s">
        <v>847</v>
      </c>
      <c r="C130" s="3" t="s">
        <v>212</v>
      </c>
      <c r="D130" s="3" t="s">
        <v>536</v>
      </c>
      <c r="E130" t="str">
        <f t="shared" ref="E130:E193" si="2">LEFT(D130, 8)</f>
        <v>z0062776</v>
      </c>
      <c r="F130" s="3" t="s">
        <v>648</v>
      </c>
      <c r="G130" s="3"/>
      <c r="H130" s="3"/>
      <c r="I130" s="3" t="s">
        <v>1638</v>
      </c>
      <c r="J130" s="3"/>
      <c r="K130" s="3"/>
      <c r="L130" s="3" t="s">
        <v>680</v>
      </c>
      <c r="M130" s="3" t="s">
        <v>681</v>
      </c>
      <c r="N130" s="4">
        <v>23833</v>
      </c>
      <c r="O130" s="4">
        <v>62776</v>
      </c>
      <c r="P130" s="4">
        <v>1</v>
      </c>
      <c r="Q130" s="3" t="s">
        <v>690</v>
      </c>
      <c r="R130" s="4">
        <v>32</v>
      </c>
      <c r="S130" s="4">
        <v>1</v>
      </c>
      <c r="T130" s="4">
        <v>0</v>
      </c>
      <c r="U130" s="3"/>
      <c r="V130" s="3" t="s">
        <v>848</v>
      </c>
      <c r="W130" s="5">
        <v>38698</v>
      </c>
      <c r="X130" s="4">
        <v>2005</v>
      </c>
      <c r="Y130" s="4">
        <v>12</v>
      </c>
      <c r="Z130" s="4">
        <v>12</v>
      </c>
      <c r="AA130" s="3" t="s">
        <v>738</v>
      </c>
      <c r="AC130" t="s">
        <v>1364</v>
      </c>
      <c r="AD130" t="s">
        <v>1364</v>
      </c>
      <c r="AE130" t="s">
        <v>1365</v>
      </c>
      <c r="AF130" s="3" t="s">
        <v>739</v>
      </c>
      <c r="AG130" s="3"/>
      <c r="AH130" s="3"/>
      <c r="AI130" s="3"/>
      <c r="AJ130" s="3" t="s">
        <v>740</v>
      </c>
      <c r="AK130" s="3" t="s">
        <v>741</v>
      </c>
      <c r="AL130" s="3" t="s">
        <v>686</v>
      </c>
      <c r="AM130" s="3" t="s">
        <v>687</v>
      </c>
      <c r="AN130" s="3" t="s">
        <v>687</v>
      </c>
      <c r="AO130" s="3"/>
      <c r="AP130" s="3"/>
      <c r="AQ130" s="3"/>
      <c r="AR130" s="3"/>
      <c r="AS130" s="3"/>
      <c r="AT130" s="3"/>
      <c r="AU130" s="3"/>
      <c r="AV130" s="3"/>
      <c r="AW130" s="3"/>
      <c r="AX130" s="3"/>
      <c r="AY130" s="3"/>
      <c r="AZ130" s="3"/>
      <c r="BA130" s="3"/>
      <c r="BB130" s="3"/>
      <c r="BC130" s="3" t="s">
        <v>742</v>
      </c>
      <c r="BD130" s="3" t="s">
        <v>715</v>
      </c>
    </row>
    <row r="131" spans="1:58" x14ac:dyDescent="0.2">
      <c r="B131" s="3" t="s">
        <v>849</v>
      </c>
      <c r="C131" s="3" t="s">
        <v>213</v>
      </c>
      <c r="D131" s="3" t="s">
        <v>537</v>
      </c>
      <c r="E131" t="str">
        <f t="shared" si="2"/>
        <v>z0062779</v>
      </c>
      <c r="F131" s="3" t="s">
        <v>648</v>
      </c>
      <c r="G131" s="3"/>
      <c r="H131" s="3"/>
      <c r="I131" s="3" t="s">
        <v>1638</v>
      </c>
      <c r="J131" s="3"/>
      <c r="K131" s="3"/>
      <c r="L131" s="3" t="s">
        <v>680</v>
      </c>
      <c r="M131" s="3" t="s">
        <v>681</v>
      </c>
      <c r="N131" s="4">
        <v>23836</v>
      </c>
      <c r="O131" s="4">
        <v>62779</v>
      </c>
      <c r="P131" s="4">
        <v>1</v>
      </c>
      <c r="Q131" s="3" t="s">
        <v>690</v>
      </c>
      <c r="R131" s="4">
        <v>11</v>
      </c>
      <c r="S131" s="4">
        <v>1</v>
      </c>
      <c r="T131" s="4">
        <v>0</v>
      </c>
      <c r="U131" s="3"/>
      <c r="V131" s="3" t="s">
        <v>850</v>
      </c>
      <c r="W131" s="5">
        <v>38733</v>
      </c>
      <c r="X131" s="4">
        <v>2006</v>
      </c>
      <c r="Y131" s="4">
        <v>1</v>
      </c>
      <c r="Z131" s="4">
        <v>16</v>
      </c>
      <c r="AA131" s="3" t="s">
        <v>738</v>
      </c>
      <c r="AC131" t="s">
        <v>1364</v>
      </c>
      <c r="AD131" t="s">
        <v>1364</v>
      </c>
      <c r="AE131" t="s">
        <v>1365</v>
      </c>
      <c r="AF131" s="3" t="s">
        <v>739</v>
      </c>
      <c r="AG131" s="3"/>
      <c r="AH131" s="3"/>
      <c r="AI131" s="3"/>
      <c r="AJ131" s="3" t="s">
        <v>740</v>
      </c>
      <c r="AK131" s="3" t="s">
        <v>741</v>
      </c>
      <c r="AL131" s="3" t="s">
        <v>686</v>
      </c>
      <c r="AM131" s="3" t="s">
        <v>687</v>
      </c>
      <c r="AN131" s="3" t="s">
        <v>687</v>
      </c>
      <c r="AO131" s="3"/>
      <c r="AP131" s="3"/>
      <c r="AQ131" s="3"/>
      <c r="AR131" s="3"/>
      <c r="AS131" s="3"/>
      <c r="AT131" s="3"/>
      <c r="AU131" s="3"/>
      <c r="AV131" s="3"/>
      <c r="AW131" s="3"/>
      <c r="AX131" s="3"/>
      <c r="AY131" s="3"/>
      <c r="AZ131" s="3"/>
      <c r="BA131" s="3"/>
      <c r="BB131" s="3"/>
      <c r="BC131" s="3" t="s">
        <v>742</v>
      </c>
      <c r="BD131" s="3" t="s">
        <v>715</v>
      </c>
    </row>
    <row r="132" spans="1:58" x14ac:dyDescent="0.2">
      <c r="B132" s="3" t="s">
        <v>851</v>
      </c>
      <c r="C132" s="3" t="s">
        <v>214</v>
      </c>
      <c r="D132" s="3" t="s">
        <v>538</v>
      </c>
      <c r="E132" t="str">
        <f t="shared" si="2"/>
        <v>z0062780</v>
      </c>
      <c r="F132" s="3" t="s">
        <v>648</v>
      </c>
      <c r="G132" s="3"/>
      <c r="H132" s="3"/>
      <c r="I132" s="3" t="s">
        <v>1638</v>
      </c>
      <c r="J132" s="3"/>
      <c r="K132" s="3"/>
      <c r="L132" s="3" t="s">
        <v>680</v>
      </c>
      <c r="M132" s="3" t="s">
        <v>681</v>
      </c>
      <c r="N132" s="4">
        <v>23837</v>
      </c>
      <c r="O132" s="4">
        <v>62780</v>
      </c>
      <c r="P132" s="4">
        <v>1</v>
      </c>
      <c r="Q132" s="3" t="s">
        <v>690</v>
      </c>
      <c r="R132" s="4">
        <v>28</v>
      </c>
      <c r="S132" s="4">
        <v>2</v>
      </c>
      <c r="T132" s="4">
        <v>0</v>
      </c>
      <c r="U132" s="3"/>
      <c r="V132" s="3" t="s">
        <v>852</v>
      </c>
      <c r="W132" s="5">
        <v>39090</v>
      </c>
      <c r="X132" s="4">
        <v>2007</v>
      </c>
      <c r="Y132" s="4">
        <v>1</v>
      </c>
      <c r="Z132" s="4">
        <v>8</v>
      </c>
      <c r="AA132" s="3" t="s">
        <v>738</v>
      </c>
      <c r="AC132" t="s">
        <v>1364</v>
      </c>
      <c r="AD132" t="s">
        <v>1364</v>
      </c>
      <c r="AE132" t="s">
        <v>1365</v>
      </c>
      <c r="AF132" s="3" t="s">
        <v>739</v>
      </c>
      <c r="AG132" s="3"/>
      <c r="AH132" s="3"/>
      <c r="AI132" s="3"/>
      <c r="AJ132" s="3" t="s">
        <v>740</v>
      </c>
      <c r="AK132" s="3" t="s">
        <v>741</v>
      </c>
      <c r="AL132" s="3" t="s">
        <v>686</v>
      </c>
      <c r="AM132" s="3" t="s">
        <v>687</v>
      </c>
      <c r="AN132" s="3" t="s">
        <v>687</v>
      </c>
      <c r="AO132" s="3"/>
      <c r="AP132" s="3"/>
      <c r="AQ132" s="3"/>
      <c r="AR132" s="3"/>
      <c r="AS132" s="3"/>
      <c r="AT132" s="3"/>
      <c r="AU132" s="3"/>
      <c r="AV132" s="3"/>
      <c r="AW132" s="3"/>
      <c r="AX132" s="3"/>
      <c r="AY132" s="3"/>
      <c r="AZ132" s="3"/>
      <c r="BA132" s="3"/>
      <c r="BB132" s="3"/>
      <c r="BC132" s="3" t="s">
        <v>742</v>
      </c>
      <c r="BD132" s="3" t="s">
        <v>715</v>
      </c>
    </row>
    <row r="133" spans="1:58" x14ac:dyDescent="0.2">
      <c r="B133" s="3" t="s">
        <v>853</v>
      </c>
      <c r="C133" s="3" t="s">
        <v>215</v>
      </c>
      <c r="D133" s="3" t="s">
        <v>539</v>
      </c>
      <c r="E133" t="str">
        <f t="shared" si="2"/>
        <v>z0062780</v>
      </c>
      <c r="F133" s="3" t="s">
        <v>648</v>
      </c>
      <c r="G133" s="3"/>
      <c r="H133" s="3"/>
      <c r="I133" s="3" t="s">
        <v>1638</v>
      </c>
      <c r="J133" s="3"/>
      <c r="K133" s="3"/>
      <c r="L133" s="3" t="s">
        <v>680</v>
      </c>
      <c r="M133" s="3" t="s">
        <v>681</v>
      </c>
      <c r="N133" s="4">
        <v>23837</v>
      </c>
      <c r="O133" s="4">
        <v>62780</v>
      </c>
      <c r="P133" s="4">
        <v>1</v>
      </c>
      <c r="Q133" s="3" t="s">
        <v>690</v>
      </c>
      <c r="R133" s="4">
        <v>28</v>
      </c>
      <c r="S133" s="4">
        <v>2</v>
      </c>
      <c r="T133" s="4">
        <v>0</v>
      </c>
      <c r="U133" s="3"/>
      <c r="V133" s="3" t="s">
        <v>852</v>
      </c>
      <c r="W133" s="5">
        <v>39090</v>
      </c>
      <c r="X133" s="4">
        <v>2007</v>
      </c>
      <c r="Y133" s="4">
        <v>1</v>
      </c>
      <c r="Z133" s="4">
        <v>8</v>
      </c>
      <c r="AA133" s="3" t="s">
        <v>738</v>
      </c>
      <c r="AC133" t="s">
        <v>1364</v>
      </c>
      <c r="AD133" t="s">
        <v>1364</v>
      </c>
      <c r="AE133" t="s">
        <v>1365</v>
      </c>
      <c r="AF133" s="3" t="s">
        <v>739</v>
      </c>
      <c r="AG133" s="3"/>
      <c r="AH133" s="3"/>
      <c r="AI133" s="3"/>
      <c r="AJ133" s="3" t="s">
        <v>740</v>
      </c>
      <c r="AK133" s="3" t="s">
        <v>741</v>
      </c>
      <c r="AL133" s="3" t="s">
        <v>686</v>
      </c>
      <c r="AM133" s="3" t="s">
        <v>687</v>
      </c>
      <c r="AN133" s="3" t="s">
        <v>687</v>
      </c>
      <c r="AO133" s="3"/>
      <c r="AP133" s="3"/>
      <c r="AQ133" s="3"/>
      <c r="AR133" s="3"/>
      <c r="AS133" s="3"/>
      <c r="AT133" s="3"/>
      <c r="AU133" s="3"/>
      <c r="AV133" s="3"/>
      <c r="AW133" s="3"/>
      <c r="AX133" s="3"/>
      <c r="AY133" s="3"/>
      <c r="AZ133" s="3"/>
      <c r="BA133" s="3"/>
      <c r="BB133" s="3"/>
      <c r="BC133" s="3" t="s">
        <v>742</v>
      </c>
      <c r="BD133" s="3" t="s">
        <v>715</v>
      </c>
    </row>
    <row r="134" spans="1:58" x14ac:dyDescent="0.2">
      <c r="B134" s="3" t="s">
        <v>854</v>
      </c>
      <c r="C134" s="3" t="s">
        <v>216</v>
      </c>
      <c r="D134" s="3" t="s">
        <v>540</v>
      </c>
      <c r="E134" t="str">
        <f t="shared" si="2"/>
        <v>z0062783</v>
      </c>
      <c r="F134" s="3" t="s">
        <v>648</v>
      </c>
      <c r="G134" s="3"/>
      <c r="H134" s="3"/>
      <c r="I134" s="3" t="s">
        <v>1638</v>
      </c>
      <c r="J134" s="3"/>
      <c r="K134" s="3"/>
      <c r="L134" s="3" t="s">
        <v>680</v>
      </c>
      <c r="M134" s="3" t="s">
        <v>681</v>
      </c>
      <c r="N134" s="4">
        <v>23840</v>
      </c>
      <c r="O134" s="4">
        <v>62783</v>
      </c>
      <c r="P134" s="4">
        <v>1</v>
      </c>
      <c r="Q134" s="3" t="s">
        <v>690</v>
      </c>
      <c r="R134" s="4">
        <v>32</v>
      </c>
      <c r="S134" s="4">
        <v>1</v>
      </c>
      <c r="T134" s="4">
        <v>0</v>
      </c>
      <c r="U134" s="3"/>
      <c r="V134" s="3" t="s">
        <v>855</v>
      </c>
      <c r="W134" s="5">
        <v>39111</v>
      </c>
      <c r="X134" s="4">
        <v>2007</v>
      </c>
      <c r="Y134" s="4">
        <v>1</v>
      </c>
      <c r="Z134" s="4">
        <v>29</v>
      </c>
      <c r="AA134" s="3" t="s">
        <v>738</v>
      </c>
      <c r="AC134" t="s">
        <v>1364</v>
      </c>
      <c r="AD134" t="s">
        <v>1364</v>
      </c>
      <c r="AE134" t="s">
        <v>1365</v>
      </c>
      <c r="AF134" s="3" t="s">
        <v>739</v>
      </c>
      <c r="AG134" s="3"/>
      <c r="AH134" s="3"/>
      <c r="AI134" s="3"/>
      <c r="AJ134" s="3" t="s">
        <v>740</v>
      </c>
      <c r="AK134" s="3" t="s">
        <v>741</v>
      </c>
      <c r="AL134" s="3" t="s">
        <v>686</v>
      </c>
      <c r="AM134" s="3" t="s">
        <v>687</v>
      </c>
      <c r="AN134" s="3" t="s">
        <v>687</v>
      </c>
      <c r="AO134" s="3"/>
      <c r="AP134" s="3"/>
      <c r="AQ134" s="3"/>
      <c r="AR134" s="3"/>
      <c r="AS134" s="3"/>
      <c r="AT134" s="3"/>
      <c r="AU134" s="3"/>
      <c r="AV134" s="3"/>
      <c r="AW134" s="3"/>
      <c r="AX134" s="3"/>
      <c r="AY134" s="3"/>
      <c r="AZ134" s="3"/>
      <c r="BA134" s="3"/>
      <c r="BB134" s="3"/>
      <c r="BC134" s="3" t="s">
        <v>742</v>
      </c>
      <c r="BD134" s="3" t="s">
        <v>715</v>
      </c>
    </row>
    <row r="135" spans="1:58" x14ac:dyDescent="0.2">
      <c r="B135" s="3" t="s">
        <v>856</v>
      </c>
      <c r="C135" s="3" t="s">
        <v>217</v>
      </c>
      <c r="D135" s="3" t="s">
        <v>541</v>
      </c>
      <c r="E135" t="str">
        <f t="shared" si="2"/>
        <v>z0062784</v>
      </c>
      <c r="F135" s="3" t="s">
        <v>648</v>
      </c>
      <c r="G135" s="3"/>
      <c r="H135" s="3"/>
      <c r="I135" s="3" t="s">
        <v>1638</v>
      </c>
      <c r="J135" s="3"/>
      <c r="K135" s="3"/>
      <c r="L135" s="3" t="s">
        <v>680</v>
      </c>
      <c r="M135" s="3" t="s">
        <v>681</v>
      </c>
      <c r="N135" s="4">
        <v>23841</v>
      </c>
      <c r="O135" s="4">
        <v>62784</v>
      </c>
      <c r="P135" s="4">
        <v>1</v>
      </c>
      <c r="Q135" s="3" t="s">
        <v>690</v>
      </c>
      <c r="R135" s="4">
        <v>32</v>
      </c>
      <c r="S135" s="4">
        <v>1</v>
      </c>
      <c r="T135" s="4">
        <v>0</v>
      </c>
      <c r="U135" s="3"/>
      <c r="V135" s="3" t="s">
        <v>857</v>
      </c>
      <c r="W135" s="5">
        <v>38699</v>
      </c>
      <c r="X135" s="4">
        <v>2005</v>
      </c>
      <c r="Y135" s="4">
        <v>12</v>
      </c>
      <c r="Z135" s="4">
        <v>13</v>
      </c>
      <c r="AA135" s="3" t="s">
        <v>738</v>
      </c>
      <c r="AC135" t="s">
        <v>1364</v>
      </c>
      <c r="AD135" t="s">
        <v>1364</v>
      </c>
      <c r="AE135" t="s">
        <v>1365</v>
      </c>
      <c r="AF135" s="3" t="s">
        <v>739</v>
      </c>
      <c r="AG135" s="3"/>
      <c r="AH135" s="3"/>
      <c r="AI135" s="3"/>
      <c r="AJ135" s="3" t="s">
        <v>740</v>
      </c>
      <c r="AK135" s="3" t="s">
        <v>741</v>
      </c>
      <c r="AL135" s="3" t="s">
        <v>686</v>
      </c>
      <c r="AM135" s="3" t="s">
        <v>687</v>
      </c>
      <c r="AN135" s="3" t="s">
        <v>687</v>
      </c>
      <c r="AO135" s="3"/>
      <c r="AP135" s="3"/>
      <c r="AQ135" s="3"/>
      <c r="AR135" s="3"/>
      <c r="AS135" s="3"/>
      <c r="AT135" s="3"/>
      <c r="AU135" s="3"/>
      <c r="AV135" s="3"/>
      <c r="AW135" s="3"/>
      <c r="AX135" s="3"/>
      <c r="AY135" s="3"/>
      <c r="AZ135" s="3"/>
      <c r="BA135" s="3"/>
      <c r="BB135" s="3"/>
      <c r="BC135" s="3" t="s">
        <v>742</v>
      </c>
      <c r="BD135" s="3" t="s">
        <v>715</v>
      </c>
    </row>
    <row r="136" spans="1:58" x14ac:dyDescent="0.2">
      <c r="A136">
        <v>95</v>
      </c>
      <c r="C136" t="s">
        <v>1362</v>
      </c>
      <c r="D136" t="s">
        <v>473</v>
      </c>
      <c r="E136" t="str">
        <f t="shared" si="2"/>
        <v>z0062687</v>
      </c>
      <c r="F136" t="s">
        <v>648</v>
      </c>
      <c r="G136" s="6" t="s">
        <v>1363</v>
      </c>
      <c r="H136" t="s">
        <v>741</v>
      </c>
      <c r="I136" t="s">
        <v>1155</v>
      </c>
      <c r="J136" t="s">
        <v>1162</v>
      </c>
      <c r="K136">
        <v>35664</v>
      </c>
      <c r="L136" t="s">
        <v>680</v>
      </c>
      <c r="N136">
        <v>23744</v>
      </c>
      <c r="O136">
        <v>62687</v>
      </c>
      <c r="V136" t="s">
        <v>973</v>
      </c>
      <c r="W136" s="1">
        <v>38737</v>
      </c>
      <c r="X136">
        <v>2006</v>
      </c>
      <c r="Y136">
        <v>1</v>
      </c>
      <c r="Z136">
        <v>20</v>
      </c>
      <c r="AA136" t="s">
        <v>738</v>
      </c>
      <c r="AC136" t="s">
        <v>1364</v>
      </c>
      <c r="AD136" t="s">
        <v>1364</v>
      </c>
      <c r="AE136" t="s">
        <v>1365</v>
      </c>
      <c r="AF136" t="s">
        <v>739</v>
      </c>
      <c r="AJ136" t="s">
        <v>740</v>
      </c>
      <c r="AK136" t="s">
        <v>741</v>
      </c>
      <c r="AL136" t="s">
        <v>686</v>
      </c>
      <c r="AM136" t="s">
        <v>687</v>
      </c>
      <c r="AN136" t="s">
        <v>687</v>
      </c>
      <c r="BC136" t="s">
        <v>742</v>
      </c>
      <c r="BD136" t="s">
        <v>715</v>
      </c>
      <c r="BE136">
        <v>44272.618587962963</v>
      </c>
      <c r="BF136" t="s">
        <v>971</v>
      </c>
    </row>
    <row r="137" spans="1:58" x14ac:dyDescent="0.2">
      <c r="A137">
        <v>96</v>
      </c>
      <c r="C137" t="s">
        <v>1366</v>
      </c>
      <c r="D137" t="s">
        <v>508</v>
      </c>
      <c r="E137" t="str">
        <f t="shared" si="2"/>
        <v>z0062737</v>
      </c>
      <c r="F137" t="s">
        <v>648</v>
      </c>
      <c r="G137" s="6" t="s">
        <v>1367</v>
      </c>
      <c r="H137" t="s">
        <v>741</v>
      </c>
      <c r="I137" t="s">
        <v>1155</v>
      </c>
      <c r="J137" t="s">
        <v>1162</v>
      </c>
      <c r="K137">
        <v>35714</v>
      </c>
      <c r="L137" t="s">
        <v>680</v>
      </c>
      <c r="N137">
        <v>23794</v>
      </c>
      <c r="O137">
        <v>62737</v>
      </c>
      <c r="V137" t="s">
        <v>972</v>
      </c>
      <c r="W137" s="1">
        <v>38735</v>
      </c>
      <c r="X137">
        <v>2006</v>
      </c>
      <c r="Y137">
        <v>1</v>
      </c>
      <c r="Z137">
        <v>18</v>
      </c>
      <c r="AA137" t="s">
        <v>738</v>
      </c>
      <c r="AC137" t="s">
        <v>1364</v>
      </c>
      <c r="AD137" t="s">
        <v>1364</v>
      </c>
      <c r="AE137" t="s">
        <v>1365</v>
      </c>
      <c r="AF137" t="s">
        <v>739</v>
      </c>
      <c r="AJ137" t="s">
        <v>740</v>
      </c>
      <c r="AK137" t="s">
        <v>741</v>
      </c>
      <c r="AL137" t="s">
        <v>686</v>
      </c>
      <c r="AM137" t="s">
        <v>687</v>
      </c>
      <c r="AN137" t="s">
        <v>687</v>
      </c>
      <c r="BC137" t="s">
        <v>742</v>
      </c>
      <c r="BD137" t="s">
        <v>715</v>
      </c>
      <c r="BE137">
        <v>44272.618796296294</v>
      </c>
      <c r="BF137" t="s">
        <v>971</v>
      </c>
    </row>
    <row r="138" spans="1:58" x14ac:dyDescent="0.2">
      <c r="A138">
        <v>97</v>
      </c>
      <c r="C138" t="s">
        <v>1368</v>
      </c>
      <c r="D138" t="s">
        <v>511</v>
      </c>
      <c r="E138" t="str">
        <f t="shared" si="2"/>
        <v>z0062742</v>
      </c>
      <c r="F138" t="s">
        <v>648</v>
      </c>
      <c r="G138" s="6" t="s">
        <v>1369</v>
      </c>
      <c r="H138" t="s">
        <v>741</v>
      </c>
      <c r="I138" t="s">
        <v>1155</v>
      </c>
      <c r="J138" t="s">
        <v>1162</v>
      </c>
      <c r="K138">
        <v>35719</v>
      </c>
      <c r="L138" t="s">
        <v>680</v>
      </c>
      <c r="N138">
        <v>23799</v>
      </c>
      <c r="O138">
        <v>62742</v>
      </c>
      <c r="V138" t="s">
        <v>974</v>
      </c>
      <c r="W138" s="1">
        <v>38742</v>
      </c>
      <c r="X138">
        <v>2006</v>
      </c>
      <c r="Y138">
        <v>1</v>
      </c>
      <c r="Z138">
        <v>25</v>
      </c>
      <c r="AA138" t="s">
        <v>738</v>
      </c>
      <c r="AC138" t="s">
        <v>1364</v>
      </c>
      <c r="AD138" t="s">
        <v>1364</v>
      </c>
      <c r="AE138" t="s">
        <v>1365</v>
      </c>
      <c r="AF138" t="s">
        <v>739</v>
      </c>
      <c r="AJ138" t="s">
        <v>740</v>
      </c>
      <c r="AK138" t="s">
        <v>741</v>
      </c>
      <c r="AL138" t="s">
        <v>686</v>
      </c>
      <c r="AM138" t="s">
        <v>687</v>
      </c>
      <c r="AN138" t="s">
        <v>687</v>
      </c>
      <c r="BC138" t="s">
        <v>742</v>
      </c>
      <c r="BD138" t="s">
        <v>715</v>
      </c>
      <c r="BE138">
        <v>44272.618819444448</v>
      </c>
      <c r="BF138" t="s">
        <v>971</v>
      </c>
    </row>
    <row r="139" spans="1:58" x14ac:dyDescent="0.2">
      <c r="A139">
        <v>98</v>
      </c>
      <c r="C139" t="s">
        <v>1370</v>
      </c>
      <c r="D139" t="s">
        <v>513</v>
      </c>
      <c r="E139" t="str">
        <f t="shared" si="2"/>
        <v>z0062743</v>
      </c>
      <c r="F139" t="s">
        <v>648</v>
      </c>
      <c r="G139" s="6" t="s">
        <v>1371</v>
      </c>
      <c r="H139" t="s">
        <v>741</v>
      </c>
      <c r="I139" t="s">
        <v>1155</v>
      </c>
      <c r="J139" t="s">
        <v>1162</v>
      </c>
      <c r="K139">
        <v>35720</v>
      </c>
      <c r="L139" t="s">
        <v>680</v>
      </c>
      <c r="N139">
        <v>23800</v>
      </c>
      <c r="O139">
        <v>62743</v>
      </c>
      <c r="V139" t="s">
        <v>983</v>
      </c>
      <c r="W139" s="1">
        <v>39082</v>
      </c>
      <c r="X139">
        <v>2006</v>
      </c>
      <c r="Y139">
        <v>12</v>
      </c>
      <c r="Z139">
        <v>31</v>
      </c>
      <c r="AA139" t="s">
        <v>738</v>
      </c>
      <c r="AC139" t="s">
        <v>1364</v>
      </c>
      <c r="AD139" t="s">
        <v>1364</v>
      </c>
      <c r="AE139" t="s">
        <v>1365</v>
      </c>
      <c r="AF139" t="s">
        <v>739</v>
      </c>
      <c r="AJ139" t="s">
        <v>740</v>
      </c>
      <c r="AK139" t="s">
        <v>741</v>
      </c>
      <c r="AL139" t="s">
        <v>686</v>
      </c>
      <c r="AM139" t="s">
        <v>687</v>
      </c>
      <c r="AN139" t="s">
        <v>687</v>
      </c>
      <c r="BC139" t="s">
        <v>742</v>
      </c>
      <c r="BD139" t="s">
        <v>715</v>
      </c>
      <c r="BE139">
        <v>44272.618819444448</v>
      </c>
      <c r="BF139" t="s">
        <v>971</v>
      </c>
    </row>
    <row r="140" spans="1:58" x14ac:dyDescent="0.2">
      <c r="A140">
        <v>99</v>
      </c>
      <c r="C140" t="s">
        <v>1372</v>
      </c>
      <c r="D140" t="s">
        <v>518</v>
      </c>
      <c r="E140" t="str">
        <f t="shared" si="2"/>
        <v>z0062752</v>
      </c>
      <c r="F140" t="s">
        <v>648</v>
      </c>
      <c r="G140" s="6" t="s">
        <v>1373</v>
      </c>
      <c r="H140" t="s">
        <v>741</v>
      </c>
      <c r="I140" t="s">
        <v>1155</v>
      </c>
      <c r="J140" t="s">
        <v>1162</v>
      </c>
      <c r="K140">
        <v>35729</v>
      </c>
      <c r="L140" t="s">
        <v>680</v>
      </c>
      <c r="N140">
        <v>23809</v>
      </c>
      <c r="O140">
        <v>62752</v>
      </c>
      <c r="V140" t="s">
        <v>975</v>
      </c>
      <c r="W140" s="1">
        <v>38743</v>
      </c>
      <c r="X140">
        <v>2006</v>
      </c>
      <c r="Y140">
        <v>1</v>
      </c>
      <c r="Z140">
        <v>26</v>
      </c>
      <c r="AA140" t="s">
        <v>738</v>
      </c>
      <c r="AC140" t="s">
        <v>1364</v>
      </c>
      <c r="AD140" t="s">
        <v>1364</v>
      </c>
      <c r="AE140" t="s">
        <v>1365</v>
      </c>
      <c r="AF140" t="s">
        <v>739</v>
      </c>
      <c r="AJ140" t="s">
        <v>740</v>
      </c>
      <c r="AK140" t="s">
        <v>741</v>
      </c>
      <c r="AL140" t="s">
        <v>686</v>
      </c>
      <c r="AM140" t="s">
        <v>687</v>
      </c>
      <c r="AN140" t="s">
        <v>687</v>
      </c>
      <c r="BC140" t="s">
        <v>742</v>
      </c>
      <c r="BD140" t="s">
        <v>715</v>
      </c>
      <c r="BE140">
        <v>44272.61886574074</v>
      </c>
      <c r="BF140" t="s">
        <v>971</v>
      </c>
    </row>
    <row r="141" spans="1:58" x14ac:dyDescent="0.2">
      <c r="A141">
        <v>100</v>
      </c>
      <c r="C141" t="s">
        <v>1374</v>
      </c>
      <c r="D141" t="s">
        <v>521</v>
      </c>
      <c r="E141" t="str">
        <f t="shared" si="2"/>
        <v>z0062761</v>
      </c>
      <c r="F141" t="s">
        <v>648</v>
      </c>
      <c r="G141" s="6" t="s">
        <v>1375</v>
      </c>
      <c r="H141" t="s">
        <v>741</v>
      </c>
      <c r="I141" t="s">
        <v>1155</v>
      </c>
      <c r="J141" t="s">
        <v>1162</v>
      </c>
      <c r="K141">
        <v>35738</v>
      </c>
      <c r="L141" t="s">
        <v>680</v>
      </c>
      <c r="N141">
        <v>23818</v>
      </c>
      <c r="O141">
        <v>62761</v>
      </c>
      <c r="V141" t="s">
        <v>984</v>
      </c>
      <c r="W141" s="1">
        <v>39090</v>
      </c>
      <c r="X141">
        <v>2007</v>
      </c>
      <c r="Y141">
        <v>1</v>
      </c>
      <c r="Z141">
        <v>8</v>
      </c>
      <c r="AA141" t="s">
        <v>738</v>
      </c>
      <c r="AC141" t="s">
        <v>1364</v>
      </c>
      <c r="AD141" t="s">
        <v>1364</v>
      </c>
      <c r="AE141" t="s">
        <v>1365</v>
      </c>
      <c r="AF141" t="s">
        <v>739</v>
      </c>
      <c r="AJ141" t="s">
        <v>740</v>
      </c>
      <c r="AK141" t="s">
        <v>741</v>
      </c>
      <c r="AL141" t="s">
        <v>686</v>
      </c>
      <c r="AM141" t="s">
        <v>687</v>
      </c>
      <c r="AN141" t="s">
        <v>687</v>
      </c>
      <c r="BC141" t="s">
        <v>742</v>
      </c>
      <c r="BD141" t="s">
        <v>715</v>
      </c>
      <c r="BE141">
        <v>44272.618900462963</v>
      </c>
      <c r="BF141" t="s">
        <v>971</v>
      </c>
    </row>
    <row r="142" spans="1:58" x14ac:dyDescent="0.2">
      <c r="A142">
        <v>101</v>
      </c>
      <c r="C142" t="s">
        <v>1376</v>
      </c>
      <c r="D142" t="s">
        <v>527</v>
      </c>
      <c r="E142" t="str">
        <f t="shared" si="2"/>
        <v>z0062766</v>
      </c>
      <c r="F142" t="s">
        <v>648</v>
      </c>
      <c r="G142" s="6" t="s">
        <v>1377</v>
      </c>
      <c r="H142" t="s">
        <v>741</v>
      </c>
      <c r="I142" t="s">
        <v>1155</v>
      </c>
      <c r="J142" t="s">
        <v>1162</v>
      </c>
      <c r="K142">
        <v>35743</v>
      </c>
      <c r="L142" t="s">
        <v>680</v>
      </c>
      <c r="N142">
        <v>23823</v>
      </c>
      <c r="O142">
        <v>62766</v>
      </c>
      <c r="V142" t="s">
        <v>985</v>
      </c>
      <c r="W142" s="1">
        <v>39094</v>
      </c>
      <c r="X142">
        <v>2007</v>
      </c>
      <c r="Y142">
        <v>1</v>
      </c>
      <c r="Z142">
        <v>12</v>
      </c>
      <c r="AA142" t="s">
        <v>738</v>
      </c>
      <c r="AC142" t="s">
        <v>1364</v>
      </c>
      <c r="AD142" t="s">
        <v>1364</v>
      </c>
      <c r="AE142" t="s">
        <v>1365</v>
      </c>
      <c r="AF142" t="s">
        <v>739</v>
      </c>
      <c r="AJ142" t="s">
        <v>740</v>
      </c>
      <c r="AK142" t="s">
        <v>741</v>
      </c>
      <c r="AL142" t="s">
        <v>686</v>
      </c>
      <c r="AM142" t="s">
        <v>687</v>
      </c>
      <c r="AN142" t="s">
        <v>687</v>
      </c>
      <c r="BC142" t="s">
        <v>742</v>
      </c>
      <c r="BD142" t="s">
        <v>715</v>
      </c>
      <c r="BE142">
        <v>44272.618923611109</v>
      </c>
      <c r="BF142" t="s">
        <v>971</v>
      </c>
    </row>
    <row r="143" spans="1:58" x14ac:dyDescent="0.2">
      <c r="A143">
        <v>102</v>
      </c>
      <c r="C143" t="s">
        <v>1378</v>
      </c>
      <c r="D143" t="s">
        <v>542</v>
      </c>
      <c r="E143" t="str">
        <f t="shared" si="2"/>
        <v>z0062787</v>
      </c>
      <c r="F143" t="s">
        <v>648</v>
      </c>
      <c r="G143" s="6" t="s">
        <v>1379</v>
      </c>
      <c r="H143" t="s">
        <v>741</v>
      </c>
      <c r="I143" t="s">
        <v>1155</v>
      </c>
      <c r="J143" t="s">
        <v>1162</v>
      </c>
      <c r="K143">
        <v>35764</v>
      </c>
      <c r="L143" t="s">
        <v>680</v>
      </c>
      <c r="N143">
        <v>23844</v>
      </c>
      <c r="O143">
        <v>62787</v>
      </c>
      <c r="V143" t="s">
        <v>970</v>
      </c>
      <c r="W143" s="1">
        <v>38699</v>
      </c>
      <c r="X143">
        <v>2005</v>
      </c>
      <c r="Y143">
        <v>12</v>
      </c>
      <c r="Z143">
        <v>13</v>
      </c>
      <c r="AA143" t="s">
        <v>738</v>
      </c>
      <c r="AC143" t="s">
        <v>1364</v>
      </c>
      <c r="AD143" t="s">
        <v>1364</v>
      </c>
      <c r="AE143" t="s">
        <v>1365</v>
      </c>
      <c r="AF143" t="s">
        <v>739</v>
      </c>
      <c r="AJ143" t="s">
        <v>740</v>
      </c>
      <c r="AK143" t="s">
        <v>741</v>
      </c>
      <c r="AL143" t="s">
        <v>686</v>
      </c>
      <c r="AM143" t="s">
        <v>687</v>
      </c>
      <c r="AN143" t="s">
        <v>687</v>
      </c>
      <c r="BC143" t="s">
        <v>742</v>
      </c>
      <c r="BD143" t="s">
        <v>715</v>
      </c>
      <c r="BE143">
        <v>44272.619016203702</v>
      </c>
      <c r="BF143" t="s">
        <v>971</v>
      </c>
    </row>
    <row r="144" spans="1:58" x14ac:dyDescent="0.2">
      <c r="A144">
        <v>215</v>
      </c>
      <c r="C144" t="s">
        <v>1610</v>
      </c>
      <c r="D144" t="s">
        <v>474</v>
      </c>
      <c r="E144" t="str">
        <f t="shared" si="2"/>
        <v>z0062687</v>
      </c>
      <c r="F144" t="s">
        <v>648</v>
      </c>
      <c r="G144" s="6" t="s">
        <v>1611</v>
      </c>
      <c r="H144" t="s">
        <v>741</v>
      </c>
      <c r="I144" t="s">
        <v>1155</v>
      </c>
      <c r="J144" t="s">
        <v>1162</v>
      </c>
      <c r="K144">
        <v>35664</v>
      </c>
      <c r="L144" t="s">
        <v>680</v>
      </c>
      <c r="N144">
        <v>23744</v>
      </c>
      <c r="O144">
        <v>62687</v>
      </c>
      <c r="V144" t="s">
        <v>973</v>
      </c>
      <c r="W144" s="1">
        <v>38737</v>
      </c>
      <c r="X144">
        <v>2006</v>
      </c>
      <c r="Y144">
        <v>1</v>
      </c>
      <c r="Z144">
        <v>20</v>
      </c>
      <c r="AA144" t="s">
        <v>738</v>
      </c>
      <c r="AC144" t="s">
        <v>1364</v>
      </c>
      <c r="AD144" t="s">
        <v>1364</v>
      </c>
      <c r="AE144" t="s">
        <v>1365</v>
      </c>
      <c r="AF144" t="s">
        <v>739</v>
      </c>
      <c r="AJ144" t="s">
        <v>740</v>
      </c>
      <c r="AK144" t="s">
        <v>741</v>
      </c>
      <c r="AL144" t="s">
        <v>686</v>
      </c>
      <c r="AM144" t="s">
        <v>687</v>
      </c>
      <c r="AN144" t="s">
        <v>687</v>
      </c>
      <c r="BC144" t="s">
        <v>742</v>
      </c>
      <c r="BD144" t="s">
        <v>715</v>
      </c>
      <c r="BE144">
        <v>44272.618587962963</v>
      </c>
      <c r="BF144" t="s">
        <v>971</v>
      </c>
    </row>
    <row r="145" spans="1:59" x14ac:dyDescent="0.2">
      <c r="A145">
        <v>216</v>
      </c>
      <c r="C145" t="s">
        <v>1612</v>
      </c>
      <c r="D145" t="s">
        <v>512</v>
      </c>
      <c r="E145" t="str">
        <f t="shared" si="2"/>
        <v>z0062742</v>
      </c>
      <c r="F145" t="s">
        <v>648</v>
      </c>
      <c r="G145" s="6" t="s">
        <v>1613</v>
      </c>
      <c r="H145" t="s">
        <v>741</v>
      </c>
      <c r="I145" t="s">
        <v>1155</v>
      </c>
      <c r="J145" t="s">
        <v>1162</v>
      </c>
      <c r="K145">
        <v>35719</v>
      </c>
      <c r="L145" t="s">
        <v>680</v>
      </c>
      <c r="N145">
        <v>23799</v>
      </c>
      <c r="O145">
        <v>62742</v>
      </c>
      <c r="V145" t="s">
        <v>974</v>
      </c>
      <c r="W145" s="1">
        <v>38742</v>
      </c>
      <c r="X145">
        <v>2006</v>
      </c>
      <c r="Y145">
        <v>1</v>
      </c>
      <c r="Z145">
        <v>25</v>
      </c>
      <c r="AA145" t="s">
        <v>738</v>
      </c>
      <c r="AC145" t="s">
        <v>1364</v>
      </c>
      <c r="AD145" t="s">
        <v>1364</v>
      </c>
      <c r="AE145" t="s">
        <v>1365</v>
      </c>
      <c r="AF145" t="s">
        <v>739</v>
      </c>
      <c r="AJ145" t="s">
        <v>740</v>
      </c>
      <c r="AK145" t="s">
        <v>741</v>
      </c>
      <c r="AL145" t="s">
        <v>686</v>
      </c>
      <c r="AM145" t="s">
        <v>687</v>
      </c>
      <c r="AN145" t="s">
        <v>687</v>
      </c>
      <c r="BC145" t="s">
        <v>742</v>
      </c>
      <c r="BD145" t="s">
        <v>715</v>
      </c>
      <c r="BE145">
        <v>44272.618819444448</v>
      </c>
      <c r="BF145" t="s">
        <v>971</v>
      </c>
    </row>
    <row r="146" spans="1:59" x14ac:dyDescent="0.2">
      <c r="A146">
        <v>217</v>
      </c>
      <c r="C146" t="s">
        <v>1614</v>
      </c>
      <c r="D146" t="s">
        <v>514</v>
      </c>
      <c r="E146" t="str">
        <f t="shared" si="2"/>
        <v>z0062743</v>
      </c>
      <c r="F146" t="s">
        <v>648</v>
      </c>
      <c r="G146" s="6" t="s">
        <v>1615</v>
      </c>
      <c r="H146" t="s">
        <v>741</v>
      </c>
      <c r="I146" t="s">
        <v>1155</v>
      </c>
      <c r="J146" t="s">
        <v>1162</v>
      </c>
      <c r="K146">
        <v>35720</v>
      </c>
      <c r="L146" t="s">
        <v>680</v>
      </c>
      <c r="N146">
        <v>23800</v>
      </c>
      <c r="O146">
        <v>62743</v>
      </c>
      <c r="V146" t="s">
        <v>983</v>
      </c>
      <c r="W146" s="1">
        <v>39082</v>
      </c>
      <c r="X146">
        <v>2006</v>
      </c>
      <c r="Y146">
        <v>12</v>
      </c>
      <c r="Z146">
        <v>31</v>
      </c>
      <c r="AA146" t="s">
        <v>738</v>
      </c>
      <c r="AC146" t="s">
        <v>1364</v>
      </c>
      <c r="AD146" t="s">
        <v>1364</v>
      </c>
      <c r="AE146" t="s">
        <v>1365</v>
      </c>
      <c r="AF146" t="s">
        <v>739</v>
      </c>
      <c r="AJ146" t="s">
        <v>740</v>
      </c>
      <c r="AK146" t="s">
        <v>741</v>
      </c>
      <c r="AL146" t="s">
        <v>686</v>
      </c>
      <c r="AM146" t="s">
        <v>687</v>
      </c>
      <c r="AN146" t="s">
        <v>687</v>
      </c>
      <c r="BC146" t="s">
        <v>742</v>
      </c>
      <c r="BD146" t="s">
        <v>715</v>
      </c>
      <c r="BE146">
        <v>44272.618819444448</v>
      </c>
      <c r="BF146" t="s">
        <v>971</v>
      </c>
    </row>
    <row r="147" spans="1:59" x14ac:dyDescent="0.2">
      <c r="A147">
        <v>218</v>
      </c>
      <c r="C147" t="s">
        <v>1616</v>
      </c>
      <c r="D147" t="s">
        <v>519</v>
      </c>
      <c r="E147" t="str">
        <f t="shared" si="2"/>
        <v>z0062752</v>
      </c>
      <c r="F147" t="s">
        <v>648</v>
      </c>
      <c r="G147" s="6" t="s">
        <v>1617</v>
      </c>
      <c r="H147" t="s">
        <v>741</v>
      </c>
      <c r="I147" t="s">
        <v>1155</v>
      </c>
      <c r="J147" t="s">
        <v>1162</v>
      </c>
      <c r="K147">
        <v>35729</v>
      </c>
      <c r="L147" t="s">
        <v>680</v>
      </c>
      <c r="N147">
        <v>23809</v>
      </c>
      <c r="O147">
        <v>62752</v>
      </c>
      <c r="V147" t="s">
        <v>975</v>
      </c>
      <c r="W147" s="1">
        <v>38743</v>
      </c>
      <c r="X147">
        <v>2006</v>
      </c>
      <c r="Y147">
        <v>1</v>
      </c>
      <c r="Z147">
        <v>26</v>
      </c>
      <c r="AA147" t="s">
        <v>738</v>
      </c>
      <c r="AC147" t="s">
        <v>1364</v>
      </c>
      <c r="AD147" t="s">
        <v>1364</v>
      </c>
      <c r="AE147" t="s">
        <v>1365</v>
      </c>
      <c r="AF147" t="s">
        <v>739</v>
      </c>
      <c r="AJ147" t="s">
        <v>740</v>
      </c>
      <c r="AK147" t="s">
        <v>741</v>
      </c>
      <c r="AL147" t="s">
        <v>686</v>
      </c>
      <c r="AM147" t="s">
        <v>687</v>
      </c>
      <c r="AN147" t="s">
        <v>687</v>
      </c>
      <c r="BC147" t="s">
        <v>742</v>
      </c>
      <c r="BD147" t="s">
        <v>715</v>
      </c>
      <c r="BE147">
        <v>44272.61886574074</v>
      </c>
      <c r="BF147" t="s">
        <v>971</v>
      </c>
    </row>
    <row r="148" spans="1:59" x14ac:dyDescent="0.2">
      <c r="A148">
        <v>219</v>
      </c>
      <c r="C148" t="s">
        <v>1618</v>
      </c>
      <c r="D148" t="s">
        <v>522</v>
      </c>
      <c r="E148" t="str">
        <f t="shared" si="2"/>
        <v>z0062761</v>
      </c>
      <c r="F148" t="s">
        <v>648</v>
      </c>
      <c r="G148" s="6" t="s">
        <v>1619</v>
      </c>
      <c r="H148" t="s">
        <v>741</v>
      </c>
      <c r="I148" t="s">
        <v>1155</v>
      </c>
      <c r="J148" t="s">
        <v>1162</v>
      </c>
      <c r="K148">
        <v>35738</v>
      </c>
      <c r="L148" t="s">
        <v>680</v>
      </c>
      <c r="N148">
        <v>23818</v>
      </c>
      <c r="O148">
        <v>62761</v>
      </c>
      <c r="V148" t="s">
        <v>984</v>
      </c>
      <c r="W148" s="1">
        <v>39090</v>
      </c>
      <c r="X148">
        <v>2007</v>
      </c>
      <c r="Y148">
        <v>1</v>
      </c>
      <c r="Z148">
        <v>8</v>
      </c>
      <c r="AA148" t="s">
        <v>738</v>
      </c>
      <c r="AC148" t="s">
        <v>1364</v>
      </c>
      <c r="AD148" t="s">
        <v>1364</v>
      </c>
      <c r="AE148" t="s">
        <v>1365</v>
      </c>
      <c r="AF148" t="s">
        <v>739</v>
      </c>
      <c r="AJ148" t="s">
        <v>740</v>
      </c>
      <c r="AK148" t="s">
        <v>741</v>
      </c>
      <c r="AL148" t="s">
        <v>686</v>
      </c>
      <c r="AM148" t="s">
        <v>687</v>
      </c>
      <c r="AN148" t="s">
        <v>687</v>
      </c>
      <c r="BC148" t="s">
        <v>742</v>
      </c>
      <c r="BD148" t="s">
        <v>715</v>
      </c>
      <c r="BE148">
        <v>44272.618900462963</v>
      </c>
      <c r="BF148" t="s">
        <v>971</v>
      </c>
    </row>
    <row r="149" spans="1:59" x14ac:dyDescent="0.2">
      <c r="A149">
        <v>220</v>
      </c>
      <c r="C149" t="s">
        <v>1620</v>
      </c>
      <c r="D149" t="s">
        <v>528</v>
      </c>
      <c r="E149" t="str">
        <f t="shared" si="2"/>
        <v>z0062766</v>
      </c>
      <c r="F149" t="s">
        <v>648</v>
      </c>
      <c r="G149" s="6" t="s">
        <v>1621</v>
      </c>
      <c r="H149" t="s">
        <v>741</v>
      </c>
      <c r="I149" t="s">
        <v>1155</v>
      </c>
      <c r="J149" t="s">
        <v>1162</v>
      </c>
      <c r="K149">
        <v>35743</v>
      </c>
      <c r="L149" t="s">
        <v>680</v>
      </c>
      <c r="N149">
        <v>23823</v>
      </c>
      <c r="O149">
        <v>62766</v>
      </c>
      <c r="V149" t="s">
        <v>985</v>
      </c>
      <c r="W149" s="1">
        <v>39094</v>
      </c>
      <c r="X149">
        <v>2007</v>
      </c>
      <c r="Y149">
        <v>1</v>
      </c>
      <c r="Z149">
        <v>12</v>
      </c>
      <c r="AA149" t="s">
        <v>738</v>
      </c>
      <c r="AC149" t="s">
        <v>1364</v>
      </c>
      <c r="AD149" t="s">
        <v>1364</v>
      </c>
      <c r="AE149" t="s">
        <v>1365</v>
      </c>
      <c r="AF149" t="s">
        <v>739</v>
      </c>
      <c r="AJ149" t="s">
        <v>740</v>
      </c>
      <c r="AK149" t="s">
        <v>741</v>
      </c>
      <c r="AL149" t="s">
        <v>686</v>
      </c>
      <c r="AM149" t="s">
        <v>687</v>
      </c>
      <c r="AN149" t="s">
        <v>687</v>
      </c>
      <c r="BC149" t="s">
        <v>742</v>
      </c>
      <c r="BD149" t="s">
        <v>715</v>
      </c>
      <c r="BE149">
        <v>44272.618923611109</v>
      </c>
      <c r="BF149" t="s">
        <v>971</v>
      </c>
    </row>
    <row r="150" spans="1:59" x14ac:dyDescent="0.2">
      <c r="A150">
        <v>221</v>
      </c>
      <c r="C150" t="s">
        <v>1622</v>
      </c>
      <c r="D150" t="s">
        <v>543</v>
      </c>
      <c r="E150" t="str">
        <f t="shared" si="2"/>
        <v>z0062787</v>
      </c>
      <c r="F150" t="s">
        <v>648</v>
      </c>
      <c r="G150" s="6" t="s">
        <v>1623</v>
      </c>
      <c r="H150" t="s">
        <v>741</v>
      </c>
      <c r="I150" t="s">
        <v>1155</v>
      </c>
      <c r="J150" t="s">
        <v>1162</v>
      </c>
      <c r="K150">
        <v>35764</v>
      </c>
      <c r="L150" t="s">
        <v>680</v>
      </c>
      <c r="N150">
        <v>23844</v>
      </c>
      <c r="O150">
        <v>62787</v>
      </c>
      <c r="V150" t="s">
        <v>970</v>
      </c>
      <c r="W150" s="1">
        <v>38699</v>
      </c>
      <c r="X150">
        <v>2005</v>
      </c>
      <c r="Y150">
        <v>12</v>
      </c>
      <c r="Z150">
        <v>13</v>
      </c>
      <c r="AA150" t="s">
        <v>738</v>
      </c>
      <c r="AC150" t="s">
        <v>1364</v>
      </c>
      <c r="AD150" t="s">
        <v>1364</v>
      </c>
      <c r="AE150" t="s">
        <v>1365</v>
      </c>
      <c r="AF150" t="s">
        <v>739</v>
      </c>
      <c r="AJ150" t="s">
        <v>740</v>
      </c>
      <c r="AK150" t="s">
        <v>741</v>
      </c>
      <c r="AL150" t="s">
        <v>686</v>
      </c>
      <c r="AM150" t="s">
        <v>687</v>
      </c>
      <c r="AN150" t="s">
        <v>687</v>
      </c>
      <c r="BC150" t="s">
        <v>742</v>
      </c>
      <c r="BD150" t="s">
        <v>715</v>
      </c>
      <c r="BE150">
        <v>44272.619016203702</v>
      </c>
      <c r="BF150" t="s">
        <v>971</v>
      </c>
    </row>
    <row r="151" spans="1:59" x14ac:dyDescent="0.2">
      <c r="A151">
        <v>147</v>
      </c>
      <c r="C151" t="s">
        <v>1471</v>
      </c>
      <c r="D151" t="s">
        <v>602</v>
      </c>
      <c r="E151" t="str">
        <f t="shared" si="2"/>
        <v>z0210588</v>
      </c>
      <c r="F151" t="s">
        <v>648</v>
      </c>
      <c r="G151" s="6" t="s">
        <v>1472</v>
      </c>
      <c r="H151" t="s">
        <v>1301</v>
      </c>
      <c r="I151" t="s">
        <v>1302</v>
      </c>
      <c r="J151" t="s">
        <v>1303</v>
      </c>
      <c r="K151">
        <v>160774</v>
      </c>
      <c r="L151" t="s">
        <v>680</v>
      </c>
      <c r="N151">
        <v>251359</v>
      </c>
      <c r="O151">
        <v>210588</v>
      </c>
      <c r="V151" t="s">
        <v>1092</v>
      </c>
      <c r="W151" s="1">
        <v>44755</v>
      </c>
      <c r="X151">
        <v>2022</v>
      </c>
      <c r="Y151">
        <v>7</v>
      </c>
      <c r="Z151">
        <v>13</v>
      </c>
      <c r="AA151" t="s">
        <v>987</v>
      </c>
      <c r="AB151" t="s">
        <v>1093</v>
      </c>
      <c r="AC151" t="s">
        <v>1304</v>
      </c>
      <c r="AD151" t="s">
        <v>1304</v>
      </c>
      <c r="AE151" t="s">
        <v>1305</v>
      </c>
      <c r="AF151" t="s">
        <v>1094</v>
      </c>
      <c r="AG151" t="s">
        <v>1095</v>
      </c>
      <c r="AI151" t="s">
        <v>1096</v>
      </c>
      <c r="AJ151" t="s">
        <v>957</v>
      </c>
      <c r="AK151" t="s">
        <v>958</v>
      </c>
      <c r="AL151" t="s">
        <v>686</v>
      </c>
      <c r="AN151" t="s">
        <v>927</v>
      </c>
      <c r="AQ151" t="s">
        <v>863</v>
      </c>
      <c r="AV151">
        <v>159</v>
      </c>
      <c r="AW151">
        <v>92.4</v>
      </c>
      <c r="AX151">
        <v>166.6</v>
      </c>
      <c r="AY151">
        <v>116</v>
      </c>
      <c r="BA151">
        <v>504</v>
      </c>
      <c r="BB151">
        <v>15.2</v>
      </c>
      <c r="BE151">
        <v>45372.56622685185</v>
      </c>
      <c r="BF151" t="s">
        <v>923</v>
      </c>
      <c r="BG151">
        <v>44783.662129629629</v>
      </c>
    </row>
    <row r="152" spans="1:59" x14ac:dyDescent="0.2">
      <c r="A152">
        <v>142</v>
      </c>
      <c r="C152" t="s">
        <v>1461</v>
      </c>
      <c r="D152" t="s">
        <v>597</v>
      </c>
      <c r="E152" t="str">
        <f t="shared" si="2"/>
        <v>z0178009</v>
      </c>
      <c r="F152" t="s">
        <v>648</v>
      </c>
      <c r="G152" s="6" t="s">
        <v>1462</v>
      </c>
      <c r="H152" t="s">
        <v>1301</v>
      </c>
      <c r="I152" t="s">
        <v>1302</v>
      </c>
      <c r="J152" t="s">
        <v>1303</v>
      </c>
      <c r="K152">
        <v>132532</v>
      </c>
      <c r="L152" t="s">
        <v>680</v>
      </c>
      <c r="N152">
        <v>106718</v>
      </c>
      <c r="O152">
        <v>178009</v>
      </c>
      <c r="V152" t="s">
        <v>1056</v>
      </c>
      <c r="W152" s="1">
        <v>42638</v>
      </c>
      <c r="X152">
        <v>2016</v>
      </c>
      <c r="Y152">
        <v>9</v>
      </c>
      <c r="Z152">
        <v>25</v>
      </c>
      <c r="AA152" t="s">
        <v>987</v>
      </c>
      <c r="AC152" t="s">
        <v>1304</v>
      </c>
      <c r="AD152" t="s">
        <v>1304</v>
      </c>
      <c r="AE152" t="s">
        <v>1305</v>
      </c>
      <c r="AF152" t="s">
        <v>1057</v>
      </c>
      <c r="AJ152" t="s">
        <v>957</v>
      </c>
      <c r="AK152" t="s">
        <v>958</v>
      </c>
      <c r="AL152" t="s">
        <v>686</v>
      </c>
      <c r="AN152" t="s">
        <v>927</v>
      </c>
      <c r="AO152" t="s">
        <v>1055</v>
      </c>
      <c r="AX152">
        <v>162.69999999999999</v>
      </c>
      <c r="AY152">
        <v>133</v>
      </c>
      <c r="BE152">
        <v>42691.583657407406</v>
      </c>
      <c r="BF152" t="s">
        <v>971</v>
      </c>
      <c r="BG152">
        <v>42691.583657407406</v>
      </c>
    </row>
    <row r="153" spans="1:59" x14ac:dyDescent="0.2">
      <c r="A153">
        <v>145</v>
      </c>
      <c r="C153" t="s">
        <v>1467</v>
      </c>
      <c r="D153" t="s">
        <v>600</v>
      </c>
      <c r="E153" t="str">
        <f t="shared" si="2"/>
        <v>z0207730</v>
      </c>
      <c r="F153" t="s">
        <v>648</v>
      </c>
      <c r="G153" s="6" t="s">
        <v>1468</v>
      </c>
      <c r="H153" t="s">
        <v>1301</v>
      </c>
      <c r="I153" t="s">
        <v>1302</v>
      </c>
      <c r="J153" t="s">
        <v>1303</v>
      </c>
      <c r="K153">
        <v>158256</v>
      </c>
      <c r="L153" t="s">
        <v>680</v>
      </c>
      <c r="N153">
        <v>162279</v>
      </c>
      <c r="O153">
        <v>207730</v>
      </c>
      <c r="V153" t="s">
        <v>1081</v>
      </c>
      <c r="W153" s="1">
        <v>44485</v>
      </c>
      <c r="X153">
        <v>2021</v>
      </c>
      <c r="Y153">
        <v>10</v>
      </c>
      <c r="Z153">
        <v>16</v>
      </c>
      <c r="AA153" t="s">
        <v>987</v>
      </c>
      <c r="AC153" t="s">
        <v>1304</v>
      </c>
      <c r="AD153" t="s">
        <v>1304</v>
      </c>
      <c r="AE153" t="s">
        <v>1305</v>
      </c>
      <c r="AF153" t="s">
        <v>1082</v>
      </c>
      <c r="AG153" t="s">
        <v>1083</v>
      </c>
      <c r="AI153" t="s">
        <v>1064</v>
      </c>
      <c r="AJ153" t="s">
        <v>957</v>
      </c>
      <c r="AK153" t="s">
        <v>958</v>
      </c>
      <c r="AL153" t="s">
        <v>1059</v>
      </c>
      <c r="AN153" t="s">
        <v>927</v>
      </c>
      <c r="AO153" t="s">
        <v>1084</v>
      </c>
      <c r="AQ153" t="s">
        <v>863</v>
      </c>
      <c r="AV153">
        <v>157</v>
      </c>
      <c r="AW153">
        <v>105</v>
      </c>
      <c r="AX153">
        <v>164</v>
      </c>
      <c r="AY153">
        <v>119</v>
      </c>
      <c r="BA153">
        <v>645</v>
      </c>
      <c r="BB153">
        <v>13.2</v>
      </c>
      <c r="BC153" t="s">
        <v>1085</v>
      </c>
      <c r="BE153">
        <v>44538.627662037034</v>
      </c>
      <c r="BF153" t="s">
        <v>971</v>
      </c>
      <c r="BG153">
        <v>44538.627662037034</v>
      </c>
    </row>
    <row r="154" spans="1:59" x14ac:dyDescent="0.2">
      <c r="A154">
        <v>143</v>
      </c>
      <c r="C154" t="s">
        <v>1463</v>
      </c>
      <c r="D154" t="s">
        <v>598</v>
      </c>
      <c r="E154" t="str">
        <f t="shared" si="2"/>
        <v>z0178011</v>
      </c>
      <c r="F154" t="s">
        <v>648</v>
      </c>
      <c r="G154" s="6" t="s">
        <v>1464</v>
      </c>
      <c r="H154" t="s">
        <v>1301</v>
      </c>
      <c r="I154" t="s">
        <v>1302</v>
      </c>
      <c r="J154" t="s">
        <v>1303</v>
      </c>
      <c r="K154">
        <v>132534</v>
      </c>
      <c r="L154" t="s">
        <v>680</v>
      </c>
      <c r="N154">
        <v>162280</v>
      </c>
      <c r="O154">
        <v>178011</v>
      </c>
      <c r="V154" t="s">
        <v>1058</v>
      </c>
      <c r="W154" s="1">
        <v>42639</v>
      </c>
      <c r="X154">
        <v>2016</v>
      </c>
      <c r="Y154">
        <v>9</v>
      </c>
      <c r="Z154">
        <v>26</v>
      </c>
      <c r="AA154" t="s">
        <v>987</v>
      </c>
      <c r="AC154" t="s">
        <v>1304</v>
      </c>
      <c r="AD154" t="s">
        <v>1304</v>
      </c>
      <c r="AE154" t="s">
        <v>1305</v>
      </c>
      <c r="AF154" t="s">
        <v>1054</v>
      </c>
      <c r="AJ154" t="s">
        <v>957</v>
      </c>
      <c r="AK154" t="s">
        <v>958</v>
      </c>
      <c r="AL154" t="s">
        <v>1059</v>
      </c>
      <c r="AN154" t="s">
        <v>927</v>
      </c>
      <c r="AO154" t="s">
        <v>1055</v>
      </c>
      <c r="AX154">
        <v>156.19999999999999</v>
      </c>
      <c r="AY154">
        <v>112.9</v>
      </c>
      <c r="BC154" t="s">
        <v>1060</v>
      </c>
      <c r="BE154">
        <v>42691.583657407406</v>
      </c>
      <c r="BF154" t="s">
        <v>971</v>
      </c>
      <c r="BG154">
        <v>42691.583657407406</v>
      </c>
    </row>
    <row r="155" spans="1:59" x14ac:dyDescent="0.2">
      <c r="A155">
        <v>144</v>
      </c>
      <c r="C155" t="s">
        <v>1465</v>
      </c>
      <c r="D155" t="s">
        <v>599</v>
      </c>
      <c r="E155" t="str">
        <f t="shared" si="2"/>
        <v>z0178014</v>
      </c>
      <c r="F155" t="s">
        <v>648</v>
      </c>
      <c r="G155" s="6" t="s">
        <v>1466</v>
      </c>
      <c r="H155" t="s">
        <v>1301</v>
      </c>
      <c r="I155" t="s">
        <v>1302</v>
      </c>
      <c r="J155" t="s">
        <v>1303</v>
      </c>
      <c r="K155">
        <v>132537</v>
      </c>
      <c r="L155" t="s">
        <v>680</v>
      </c>
      <c r="N155">
        <v>97614</v>
      </c>
      <c r="O155">
        <v>178014</v>
      </c>
      <c r="V155" t="s">
        <v>1053</v>
      </c>
      <c r="W155" s="1">
        <v>42632</v>
      </c>
      <c r="X155">
        <v>2016</v>
      </c>
      <c r="Y155">
        <v>9</v>
      </c>
      <c r="Z155">
        <v>19</v>
      </c>
      <c r="AA155" t="s">
        <v>987</v>
      </c>
      <c r="AC155" t="s">
        <v>1304</v>
      </c>
      <c r="AD155" t="s">
        <v>1304</v>
      </c>
      <c r="AE155" t="s">
        <v>1305</v>
      </c>
      <c r="AF155" t="s">
        <v>1054</v>
      </c>
      <c r="AJ155" t="s">
        <v>957</v>
      </c>
      <c r="AK155" t="s">
        <v>958</v>
      </c>
      <c r="AL155" t="s">
        <v>686</v>
      </c>
      <c r="AN155" t="s">
        <v>927</v>
      </c>
      <c r="AO155" t="s">
        <v>1055</v>
      </c>
      <c r="AX155">
        <v>155.69999999999999</v>
      </c>
      <c r="AY155">
        <v>118.2</v>
      </c>
      <c r="BE155">
        <v>42691.583657407406</v>
      </c>
      <c r="BF155" t="s">
        <v>971</v>
      </c>
      <c r="BG155">
        <v>42691.583657407406</v>
      </c>
    </row>
    <row r="156" spans="1:59" x14ac:dyDescent="0.2">
      <c r="A156">
        <v>67</v>
      </c>
      <c r="C156" t="s">
        <v>1299</v>
      </c>
      <c r="D156" t="s">
        <v>424</v>
      </c>
      <c r="E156" t="str">
        <f t="shared" si="2"/>
        <v>z0035352</v>
      </c>
      <c r="F156" t="s">
        <v>648</v>
      </c>
      <c r="G156" s="6" t="s">
        <v>1300</v>
      </c>
      <c r="H156" t="s">
        <v>1301</v>
      </c>
      <c r="I156" t="s">
        <v>1302</v>
      </c>
      <c r="J156" t="s">
        <v>1303</v>
      </c>
      <c r="K156">
        <v>18466</v>
      </c>
      <c r="L156" t="s">
        <v>680</v>
      </c>
      <c r="N156">
        <v>9246</v>
      </c>
      <c r="O156">
        <v>35352</v>
      </c>
      <c r="V156" t="s">
        <v>955</v>
      </c>
      <c r="W156" s="1">
        <v>37884</v>
      </c>
      <c r="X156">
        <v>2003</v>
      </c>
      <c r="Y156">
        <v>9</v>
      </c>
      <c r="Z156">
        <v>20</v>
      </c>
      <c r="AA156" t="s">
        <v>704</v>
      </c>
      <c r="AC156" t="s">
        <v>1304</v>
      </c>
      <c r="AD156" t="s">
        <v>1304</v>
      </c>
      <c r="AE156" t="s">
        <v>1305</v>
      </c>
      <c r="AF156" t="s">
        <v>956</v>
      </c>
      <c r="AJ156" t="s">
        <v>957</v>
      </c>
      <c r="AK156" t="s">
        <v>958</v>
      </c>
      <c r="AL156" t="s">
        <v>686</v>
      </c>
      <c r="AM156" t="s">
        <v>926</v>
      </c>
      <c r="AN156" t="s">
        <v>927</v>
      </c>
      <c r="AR156" t="s">
        <v>959</v>
      </c>
      <c r="AS156" t="s">
        <v>960</v>
      </c>
      <c r="AX156">
        <v>153</v>
      </c>
      <c r="AY156">
        <v>108.5</v>
      </c>
      <c r="BC156" t="s">
        <v>961</v>
      </c>
      <c r="BE156">
        <v>41981.501435185186</v>
      </c>
      <c r="BF156" t="s">
        <v>923</v>
      </c>
    </row>
    <row r="157" spans="1:59" x14ac:dyDescent="0.2">
      <c r="A157">
        <v>146</v>
      </c>
      <c r="C157" t="s">
        <v>1469</v>
      </c>
      <c r="D157" t="s">
        <v>601</v>
      </c>
      <c r="E157" t="str">
        <f t="shared" si="2"/>
        <v>z0207745</v>
      </c>
      <c r="F157" t="s">
        <v>648</v>
      </c>
      <c r="G157" s="6" t="s">
        <v>1470</v>
      </c>
      <c r="H157" t="s">
        <v>1301</v>
      </c>
      <c r="I157" t="s">
        <v>1302</v>
      </c>
      <c r="J157" t="s">
        <v>1303</v>
      </c>
      <c r="K157">
        <v>158268</v>
      </c>
      <c r="L157" t="s">
        <v>680</v>
      </c>
      <c r="N157">
        <v>106724</v>
      </c>
      <c r="O157">
        <v>207745</v>
      </c>
      <c r="V157" t="s">
        <v>1061</v>
      </c>
      <c r="W157" s="1">
        <v>43750</v>
      </c>
      <c r="X157">
        <v>2019</v>
      </c>
      <c r="Y157">
        <v>10</v>
      </c>
      <c r="Z157">
        <v>12</v>
      </c>
      <c r="AA157" t="s">
        <v>987</v>
      </c>
      <c r="AC157" t="s">
        <v>1304</v>
      </c>
      <c r="AD157" t="s">
        <v>1304</v>
      </c>
      <c r="AE157" t="s">
        <v>1305</v>
      </c>
      <c r="AF157" t="s">
        <v>1062</v>
      </c>
      <c r="AG157" t="s">
        <v>1063</v>
      </c>
      <c r="AI157" t="s">
        <v>1064</v>
      </c>
      <c r="AJ157" t="s">
        <v>957</v>
      </c>
      <c r="AK157" t="s">
        <v>958</v>
      </c>
      <c r="AL157" t="s">
        <v>686</v>
      </c>
      <c r="AN157" t="s">
        <v>927</v>
      </c>
      <c r="AQ157" t="s">
        <v>863</v>
      </c>
      <c r="AV157">
        <v>159.80000000000001</v>
      </c>
      <c r="AW157">
        <v>94</v>
      </c>
      <c r="AX157">
        <v>166</v>
      </c>
      <c r="AY157">
        <v>117.5</v>
      </c>
      <c r="BB157">
        <v>14.2</v>
      </c>
      <c r="BE157">
        <v>44538.627997685187</v>
      </c>
      <c r="BF157" t="s">
        <v>971</v>
      </c>
      <c r="BG157">
        <v>44538.627997685187</v>
      </c>
    </row>
    <row r="158" spans="1:59" x14ac:dyDescent="0.2">
      <c r="A158">
        <v>121</v>
      </c>
      <c r="C158" t="s">
        <v>1416</v>
      </c>
      <c r="D158" t="s">
        <v>568</v>
      </c>
      <c r="E158" t="str">
        <f t="shared" si="2"/>
        <v>z0117088</v>
      </c>
      <c r="F158" t="s">
        <v>648</v>
      </c>
      <c r="G158" s="6" t="s">
        <v>1417</v>
      </c>
      <c r="H158" t="s">
        <v>741</v>
      </c>
      <c r="I158" t="s">
        <v>1155</v>
      </c>
      <c r="J158" t="s">
        <v>1156</v>
      </c>
      <c r="K158">
        <v>87235</v>
      </c>
      <c r="L158" t="s">
        <v>680</v>
      </c>
      <c r="N158">
        <v>116161</v>
      </c>
      <c r="O158">
        <v>117088</v>
      </c>
      <c r="V158" t="s">
        <v>1098</v>
      </c>
      <c r="W158" s="1" t="s">
        <v>888</v>
      </c>
      <c r="AA158" t="s">
        <v>704</v>
      </c>
      <c r="AC158" t="s">
        <v>1418</v>
      </c>
      <c r="AD158" t="s">
        <v>1418</v>
      </c>
      <c r="AE158" t="s">
        <v>1419</v>
      </c>
      <c r="AF158" t="s">
        <v>1099</v>
      </c>
      <c r="AH158" t="s">
        <v>1100</v>
      </c>
      <c r="AK158" t="s">
        <v>741</v>
      </c>
      <c r="AL158" t="s">
        <v>925</v>
      </c>
      <c r="AM158" t="s">
        <v>1101</v>
      </c>
      <c r="AN158" t="s">
        <v>927</v>
      </c>
      <c r="BC158" t="s">
        <v>1102</v>
      </c>
      <c r="BD158" t="s">
        <v>715</v>
      </c>
      <c r="BE158">
        <v>44510.403773148151</v>
      </c>
      <c r="BF158" t="s">
        <v>923</v>
      </c>
      <c r="BG158">
        <v>41592.513321759259</v>
      </c>
    </row>
    <row r="159" spans="1:59" x14ac:dyDescent="0.2">
      <c r="A159">
        <v>122</v>
      </c>
      <c r="C159" t="s">
        <v>1420</v>
      </c>
      <c r="D159" t="s">
        <v>570</v>
      </c>
      <c r="E159" t="str">
        <f t="shared" si="2"/>
        <v>z0117089</v>
      </c>
      <c r="F159" t="s">
        <v>648</v>
      </c>
      <c r="G159" s="6" t="s">
        <v>1421</v>
      </c>
      <c r="H159" t="s">
        <v>741</v>
      </c>
      <c r="I159" t="s">
        <v>1155</v>
      </c>
      <c r="J159" t="s">
        <v>1156</v>
      </c>
      <c r="K159">
        <v>87236</v>
      </c>
      <c r="L159" t="s">
        <v>680</v>
      </c>
      <c r="N159">
        <v>116162</v>
      </c>
      <c r="O159">
        <v>117089</v>
      </c>
      <c r="V159" t="s">
        <v>1103</v>
      </c>
      <c r="W159" s="1" t="s">
        <v>888</v>
      </c>
      <c r="AA159" t="s">
        <v>704</v>
      </c>
      <c r="AC159" t="s">
        <v>1418</v>
      </c>
      <c r="AD159" t="s">
        <v>1418</v>
      </c>
      <c r="AE159" t="s">
        <v>1419</v>
      </c>
      <c r="AF159" t="s">
        <v>1099</v>
      </c>
      <c r="AH159" t="s">
        <v>1100</v>
      </c>
      <c r="AK159" t="s">
        <v>741</v>
      </c>
      <c r="AL159" t="s">
        <v>925</v>
      </c>
      <c r="AM159" t="s">
        <v>1101</v>
      </c>
      <c r="AN159" t="s">
        <v>927</v>
      </c>
      <c r="BC159" t="s">
        <v>1102</v>
      </c>
      <c r="BD159" t="s">
        <v>715</v>
      </c>
      <c r="BE159">
        <v>44510.403773148151</v>
      </c>
      <c r="BF159" t="s">
        <v>923</v>
      </c>
      <c r="BG159">
        <v>41592.513321759259</v>
      </c>
    </row>
    <row r="160" spans="1:59" x14ac:dyDescent="0.2">
      <c r="A160">
        <v>123</v>
      </c>
      <c r="C160" t="s">
        <v>1422</v>
      </c>
      <c r="D160" t="s">
        <v>571</v>
      </c>
      <c r="E160" t="str">
        <f t="shared" si="2"/>
        <v>z0117094</v>
      </c>
      <c r="F160" t="s">
        <v>648</v>
      </c>
      <c r="G160" s="6" t="s">
        <v>1423</v>
      </c>
      <c r="H160" t="s">
        <v>741</v>
      </c>
      <c r="I160" t="s">
        <v>1155</v>
      </c>
      <c r="J160" t="s">
        <v>1156</v>
      </c>
      <c r="K160">
        <v>87241</v>
      </c>
      <c r="L160" t="s">
        <v>680</v>
      </c>
      <c r="N160">
        <v>116167</v>
      </c>
      <c r="O160">
        <v>117094</v>
      </c>
      <c r="V160" t="s">
        <v>1104</v>
      </c>
      <c r="W160" s="1" t="s">
        <v>888</v>
      </c>
      <c r="AA160" t="s">
        <v>704</v>
      </c>
      <c r="AC160" t="s">
        <v>1418</v>
      </c>
      <c r="AD160" t="s">
        <v>1418</v>
      </c>
      <c r="AE160" t="s">
        <v>1419</v>
      </c>
      <c r="AF160" t="s">
        <v>1099</v>
      </c>
      <c r="AH160" t="s">
        <v>1100</v>
      </c>
      <c r="AK160" t="s">
        <v>741</v>
      </c>
      <c r="AL160" t="s">
        <v>925</v>
      </c>
      <c r="AM160" t="s">
        <v>1101</v>
      </c>
      <c r="AN160" t="s">
        <v>927</v>
      </c>
      <c r="BC160" t="s">
        <v>1102</v>
      </c>
      <c r="BD160" t="s">
        <v>715</v>
      </c>
      <c r="BE160">
        <v>44510.403773148151</v>
      </c>
      <c r="BF160" t="s">
        <v>923</v>
      </c>
      <c r="BG160">
        <v>41592.513321759259</v>
      </c>
    </row>
    <row r="161" spans="1:59" x14ac:dyDescent="0.2">
      <c r="A161">
        <v>124</v>
      </c>
      <c r="C161" t="s">
        <v>1424</v>
      </c>
      <c r="D161" t="s">
        <v>572</v>
      </c>
      <c r="E161" t="str">
        <f t="shared" si="2"/>
        <v>z0117103</v>
      </c>
      <c r="F161" t="s">
        <v>648</v>
      </c>
      <c r="G161" s="6" t="s">
        <v>1425</v>
      </c>
      <c r="H161" t="s">
        <v>741</v>
      </c>
      <c r="I161" t="s">
        <v>1155</v>
      </c>
      <c r="J161" t="s">
        <v>1156</v>
      </c>
      <c r="K161">
        <v>87250</v>
      </c>
      <c r="L161" t="s">
        <v>680</v>
      </c>
      <c r="N161">
        <v>116176</v>
      </c>
      <c r="O161">
        <v>117103</v>
      </c>
      <c r="V161" t="s">
        <v>1105</v>
      </c>
      <c r="W161" s="1" t="s">
        <v>888</v>
      </c>
      <c r="AA161" t="s">
        <v>704</v>
      </c>
      <c r="AC161" t="s">
        <v>1418</v>
      </c>
      <c r="AD161" t="s">
        <v>1418</v>
      </c>
      <c r="AE161" t="s">
        <v>1419</v>
      </c>
      <c r="AF161" t="s">
        <v>1099</v>
      </c>
      <c r="AH161" t="s">
        <v>1100</v>
      </c>
      <c r="AK161" t="s">
        <v>741</v>
      </c>
      <c r="AL161" t="s">
        <v>925</v>
      </c>
      <c r="AM161" t="s">
        <v>1101</v>
      </c>
      <c r="AN161" t="s">
        <v>927</v>
      </c>
      <c r="BC161" t="s">
        <v>1102</v>
      </c>
      <c r="BD161" t="s">
        <v>715</v>
      </c>
      <c r="BE161">
        <v>44510.403773148151</v>
      </c>
      <c r="BF161" t="s">
        <v>923</v>
      </c>
      <c r="BG161">
        <v>41592.513321759259</v>
      </c>
    </row>
    <row r="162" spans="1:59" x14ac:dyDescent="0.2">
      <c r="A162">
        <v>179</v>
      </c>
      <c r="C162" t="s">
        <v>1538</v>
      </c>
      <c r="D162" t="s">
        <v>569</v>
      </c>
      <c r="E162" t="str">
        <f t="shared" si="2"/>
        <v>z0117088</v>
      </c>
      <c r="F162" t="s">
        <v>648</v>
      </c>
      <c r="G162" s="6" t="s">
        <v>1539</v>
      </c>
      <c r="H162" t="s">
        <v>741</v>
      </c>
      <c r="I162" t="s">
        <v>1155</v>
      </c>
      <c r="J162" t="s">
        <v>1162</v>
      </c>
      <c r="K162">
        <v>87235</v>
      </c>
      <c r="L162" t="s">
        <v>680</v>
      </c>
      <c r="N162">
        <v>116161</v>
      </c>
      <c r="O162">
        <v>117088</v>
      </c>
      <c r="V162" t="s">
        <v>1098</v>
      </c>
      <c r="W162" s="1" t="s">
        <v>888</v>
      </c>
      <c r="AA162" t="s">
        <v>704</v>
      </c>
      <c r="AC162" t="s">
        <v>1418</v>
      </c>
      <c r="AD162" t="s">
        <v>1418</v>
      </c>
      <c r="AE162" t="s">
        <v>1419</v>
      </c>
      <c r="AF162" t="s">
        <v>1099</v>
      </c>
      <c r="AH162" t="s">
        <v>1100</v>
      </c>
      <c r="AK162" t="s">
        <v>741</v>
      </c>
      <c r="AL162" t="s">
        <v>925</v>
      </c>
      <c r="AM162" t="s">
        <v>1101</v>
      </c>
      <c r="AN162" t="s">
        <v>927</v>
      </c>
      <c r="BC162" t="s">
        <v>1102</v>
      </c>
      <c r="BD162" t="s">
        <v>715</v>
      </c>
      <c r="BE162">
        <v>44510.403773148151</v>
      </c>
      <c r="BF162" t="s">
        <v>923</v>
      </c>
      <c r="BG162">
        <v>41592.513321759259</v>
      </c>
    </row>
    <row r="163" spans="1:59" x14ac:dyDescent="0.2">
      <c r="A163">
        <v>180</v>
      </c>
      <c r="C163" t="s">
        <v>1540</v>
      </c>
      <c r="D163" t="s">
        <v>573</v>
      </c>
      <c r="E163" t="str">
        <f t="shared" si="2"/>
        <v>z0117103</v>
      </c>
      <c r="F163" t="s">
        <v>648</v>
      </c>
      <c r="G163" s="6" t="s">
        <v>1541</v>
      </c>
      <c r="H163" t="s">
        <v>741</v>
      </c>
      <c r="I163" t="s">
        <v>1155</v>
      </c>
      <c r="J163" t="s">
        <v>1156</v>
      </c>
      <c r="K163">
        <v>87250</v>
      </c>
      <c r="L163" t="s">
        <v>680</v>
      </c>
      <c r="N163">
        <v>116176</v>
      </c>
      <c r="O163">
        <v>117103</v>
      </c>
      <c r="V163" t="s">
        <v>1105</v>
      </c>
      <c r="W163" s="1" t="s">
        <v>888</v>
      </c>
      <c r="AA163" t="s">
        <v>704</v>
      </c>
      <c r="AC163" t="s">
        <v>1418</v>
      </c>
      <c r="AD163" t="s">
        <v>1418</v>
      </c>
      <c r="AE163" t="s">
        <v>1419</v>
      </c>
      <c r="AF163" t="s">
        <v>1099</v>
      </c>
      <c r="AH163" t="s">
        <v>1100</v>
      </c>
      <c r="AK163" t="s">
        <v>741</v>
      </c>
      <c r="AL163" t="s">
        <v>925</v>
      </c>
      <c r="AM163" t="s">
        <v>1101</v>
      </c>
      <c r="AN163" t="s">
        <v>927</v>
      </c>
      <c r="BC163" t="s">
        <v>1102</v>
      </c>
      <c r="BD163" t="s">
        <v>715</v>
      </c>
      <c r="BE163">
        <v>44510.403773148151</v>
      </c>
      <c r="BF163" t="s">
        <v>923</v>
      </c>
      <c r="BG163">
        <v>41592.513321759259</v>
      </c>
    </row>
    <row r="164" spans="1:59" x14ac:dyDescent="0.2">
      <c r="A164">
        <v>48</v>
      </c>
      <c r="C164" t="s">
        <v>1257</v>
      </c>
      <c r="D164" t="s">
        <v>397</v>
      </c>
      <c r="E164" t="str">
        <f t="shared" si="2"/>
        <v>z0016882</v>
      </c>
      <c r="F164" t="s">
        <v>648</v>
      </c>
      <c r="G164" s="6" t="s">
        <v>1258</v>
      </c>
      <c r="H164" t="s">
        <v>1107</v>
      </c>
      <c r="I164" t="s">
        <v>1155</v>
      </c>
      <c r="J164" t="s">
        <v>1156</v>
      </c>
      <c r="K164">
        <v>4673</v>
      </c>
      <c r="L164" t="s">
        <v>680</v>
      </c>
      <c r="N164">
        <v>19463</v>
      </c>
      <c r="O164">
        <v>16882</v>
      </c>
      <c r="V164" t="s">
        <v>1106</v>
      </c>
      <c r="W164" s="1" t="s">
        <v>888</v>
      </c>
      <c r="AC164" t="s">
        <v>1259</v>
      </c>
      <c r="AD164" t="s">
        <v>1259</v>
      </c>
      <c r="AE164" t="s">
        <v>1260</v>
      </c>
      <c r="AK164" t="s">
        <v>1107</v>
      </c>
      <c r="AL164" t="s">
        <v>925</v>
      </c>
      <c r="AM164" t="s">
        <v>1108</v>
      </c>
      <c r="AN164" t="s">
        <v>687</v>
      </c>
      <c r="AQ164" t="s">
        <v>1108</v>
      </c>
      <c r="AR164" t="s">
        <v>1101</v>
      </c>
      <c r="BC164" t="s">
        <v>1109</v>
      </c>
      <c r="BE164">
        <v>40609.415069444447</v>
      </c>
      <c r="BF164" t="s">
        <v>923</v>
      </c>
    </row>
    <row r="165" spans="1:59" x14ac:dyDescent="0.2">
      <c r="A165">
        <v>49</v>
      </c>
      <c r="C165" t="s">
        <v>1261</v>
      </c>
      <c r="D165" t="s">
        <v>398</v>
      </c>
      <c r="E165" t="str">
        <f t="shared" si="2"/>
        <v>z0016883</v>
      </c>
      <c r="F165" t="s">
        <v>648</v>
      </c>
      <c r="G165" s="6" t="s">
        <v>1262</v>
      </c>
      <c r="H165" t="s">
        <v>1107</v>
      </c>
      <c r="I165" t="s">
        <v>1155</v>
      </c>
      <c r="J165" t="s">
        <v>1156</v>
      </c>
      <c r="K165">
        <v>4674</v>
      </c>
      <c r="L165" t="s">
        <v>680</v>
      </c>
      <c r="N165">
        <v>19464</v>
      </c>
      <c r="O165">
        <v>16883</v>
      </c>
      <c r="V165" t="s">
        <v>1110</v>
      </c>
      <c r="W165" s="1" t="s">
        <v>888</v>
      </c>
      <c r="AC165" t="s">
        <v>1259</v>
      </c>
      <c r="AD165" t="s">
        <v>1259</v>
      </c>
      <c r="AE165" t="s">
        <v>1260</v>
      </c>
      <c r="AK165" t="s">
        <v>1107</v>
      </c>
      <c r="AL165" t="s">
        <v>925</v>
      </c>
      <c r="AM165" t="s">
        <v>1108</v>
      </c>
      <c r="AN165" t="s">
        <v>687</v>
      </c>
      <c r="AQ165" t="s">
        <v>1108</v>
      </c>
      <c r="AR165" t="s">
        <v>1101</v>
      </c>
      <c r="BC165" t="s">
        <v>1109</v>
      </c>
      <c r="BE165">
        <v>40609.41505787037</v>
      </c>
      <c r="BF165" t="s">
        <v>923</v>
      </c>
    </row>
    <row r="166" spans="1:59" x14ac:dyDescent="0.2">
      <c r="A166">
        <v>50</v>
      </c>
      <c r="C166" t="s">
        <v>1263</v>
      </c>
      <c r="D166" t="s">
        <v>399</v>
      </c>
      <c r="E166" t="str">
        <f t="shared" si="2"/>
        <v>z0016884</v>
      </c>
      <c r="F166" t="s">
        <v>648</v>
      </c>
      <c r="G166" s="6" t="s">
        <v>1264</v>
      </c>
      <c r="H166" t="s">
        <v>1107</v>
      </c>
      <c r="I166" t="s">
        <v>1155</v>
      </c>
      <c r="J166" t="s">
        <v>1162</v>
      </c>
      <c r="K166">
        <v>4675</v>
      </c>
      <c r="L166" t="s">
        <v>680</v>
      </c>
      <c r="N166">
        <v>19465</v>
      </c>
      <c r="O166">
        <v>16884</v>
      </c>
      <c r="V166" t="s">
        <v>1111</v>
      </c>
      <c r="W166" s="1" t="s">
        <v>888</v>
      </c>
      <c r="AC166" t="s">
        <v>1259</v>
      </c>
      <c r="AD166" t="s">
        <v>1259</v>
      </c>
      <c r="AE166" t="s">
        <v>1260</v>
      </c>
      <c r="AK166" t="s">
        <v>1107</v>
      </c>
      <c r="AL166" t="s">
        <v>925</v>
      </c>
      <c r="AM166" t="s">
        <v>1108</v>
      </c>
      <c r="AN166" t="s">
        <v>687</v>
      </c>
      <c r="AQ166" t="s">
        <v>1108</v>
      </c>
      <c r="AR166" t="s">
        <v>1101</v>
      </c>
      <c r="BC166" t="s">
        <v>1109</v>
      </c>
      <c r="BE166">
        <v>40609.415034722224</v>
      </c>
      <c r="BF166" t="s">
        <v>923</v>
      </c>
    </row>
    <row r="167" spans="1:59" x14ac:dyDescent="0.2">
      <c r="A167">
        <v>51</v>
      </c>
      <c r="C167" t="s">
        <v>1265</v>
      </c>
      <c r="D167" t="s">
        <v>401</v>
      </c>
      <c r="E167" t="str">
        <f t="shared" si="2"/>
        <v>z0016885</v>
      </c>
      <c r="F167" t="s">
        <v>648</v>
      </c>
      <c r="G167" s="6" t="s">
        <v>1266</v>
      </c>
      <c r="H167" t="s">
        <v>1107</v>
      </c>
      <c r="I167" t="s">
        <v>1155</v>
      </c>
      <c r="J167" t="s">
        <v>1156</v>
      </c>
      <c r="K167">
        <v>4676</v>
      </c>
      <c r="L167" t="s">
        <v>680</v>
      </c>
      <c r="N167">
        <v>19466</v>
      </c>
      <c r="O167">
        <v>16885</v>
      </c>
      <c r="V167" t="s">
        <v>1112</v>
      </c>
      <c r="W167" s="1" t="s">
        <v>888</v>
      </c>
      <c r="AC167" t="s">
        <v>1259</v>
      </c>
      <c r="AD167" t="s">
        <v>1259</v>
      </c>
      <c r="AE167" t="s">
        <v>1260</v>
      </c>
      <c r="AK167" t="s">
        <v>1107</v>
      </c>
      <c r="AL167" t="s">
        <v>925</v>
      </c>
      <c r="AM167" t="s">
        <v>1108</v>
      </c>
      <c r="AN167" t="s">
        <v>687</v>
      </c>
      <c r="AQ167" t="s">
        <v>1108</v>
      </c>
      <c r="AR167" t="s">
        <v>1101</v>
      </c>
      <c r="BC167" t="s">
        <v>1109</v>
      </c>
      <c r="BE167">
        <v>40609.415023148147</v>
      </c>
      <c r="BF167" t="s">
        <v>923</v>
      </c>
    </row>
    <row r="168" spans="1:59" x14ac:dyDescent="0.2">
      <c r="A168">
        <v>52</v>
      </c>
      <c r="C168" t="s">
        <v>1267</v>
      </c>
      <c r="D168" t="s">
        <v>402</v>
      </c>
      <c r="E168" t="str">
        <f t="shared" si="2"/>
        <v>z0016886</v>
      </c>
      <c r="F168" t="s">
        <v>648</v>
      </c>
      <c r="G168" s="6" t="s">
        <v>1268</v>
      </c>
      <c r="H168" t="s">
        <v>1107</v>
      </c>
      <c r="I168" t="s">
        <v>1155</v>
      </c>
      <c r="J168" t="s">
        <v>1156</v>
      </c>
      <c r="K168">
        <v>4677</v>
      </c>
      <c r="L168" t="s">
        <v>680</v>
      </c>
      <c r="N168">
        <v>19467</v>
      </c>
      <c r="O168">
        <v>16886</v>
      </c>
      <c r="V168" t="s">
        <v>1113</v>
      </c>
      <c r="W168" s="1" t="s">
        <v>888</v>
      </c>
      <c r="AC168" t="s">
        <v>1259</v>
      </c>
      <c r="AD168" t="s">
        <v>1259</v>
      </c>
      <c r="AE168" t="s">
        <v>1260</v>
      </c>
      <c r="AK168" t="s">
        <v>1107</v>
      </c>
      <c r="AL168" t="s">
        <v>925</v>
      </c>
      <c r="AM168" t="s">
        <v>1108</v>
      </c>
      <c r="AN168" t="s">
        <v>687</v>
      </c>
      <c r="AQ168" t="s">
        <v>1108</v>
      </c>
      <c r="AR168" t="s">
        <v>1101</v>
      </c>
      <c r="BC168" t="s">
        <v>1109</v>
      </c>
      <c r="BE168">
        <v>40609.415000000001</v>
      </c>
      <c r="BF168" t="s">
        <v>923</v>
      </c>
    </row>
    <row r="169" spans="1:59" x14ac:dyDescent="0.2">
      <c r="A169">
        <v>53</v>
      </c>
      <c r="C169" t="s">
        <v>1269</v>
      </c>
      <c r="D169" t="s">
        <v>403</v>
      </c>
      <c r="E169" t="str">
        <f t="shared" si="2"/>
        <v>z0016887</v>
      </c>
      <c r="F169" t="s">
        <v>648</v>
      </c>
      <c r="G169" s="6" t="s">
        <v>1270</v>
      </c>
      <c r="H169" t="s">
        <v>1107</v>
      </c>
      <c r="I169" t="s">
        <v>1155</v>
      </c>
      <c r="J169" t="s">
        <v>1156</v>
      </c>
      <c r="K169">
        <v>4678</v>
      </c>
      <c r="L169" t="s">
        <v>680</v>
      </c>
      <c r="N169">
        <v>19468</v>
      </c>
      <c r="O169">
        <v>16887</v>
      </c>
      <c r="V169" t="s">
        <v>1114</v>
      </c>
      <c r="W169" s="1" t="s">
        <v>888</v>
      </c>
      <c r="AA169" t="s">
        <v>704</v>
      </c>
      <c r="AC169" t="s">
        <v>1259</v>
      </c>
      <c r="AD169" t="s">
        <v>1259</v>
      </c>
      <c r="AE169" t="s">
        <v>1260</v>
      </c>
      <c r="AK169" t="s">
        <v>1107</v>
      </c>
      <c r="AL169" t="s">
        <v>925</v>
      </c>
      <c r="AM169" t="s">
        <v>1108</v>
      </c>
      <c r="AN169" t="s">
        <v>687</v>
      </c>
      <c r="AQ169" t="s">
        <v>1108</v>
      </c>
      <c r="AR169" t="s">
        <v>1101</v>
      </c>
      <c r="BC169" t="s">
        <v>1109</v>
      </c>
      <c r="BE169">
        <v>40609.414988425924</v>
      </c>
      <c r="BF169" t="s">
        <v>923</v>
      </c>
    </row>
    <row r="170" spans="1:59" x14ac:dyDescent="0.2">
      <c r="A170">
        <v>54</v>
      </c>
      <c r="C170" t="s">
        <v>1271</v>
      </c>
      <c r="D170" t="s">
        <v>404</v>
      </c>
      <c r="E170" t="str">
        <f t="shared" si="2"/>
        <v>z0016888</v>
      </c>
      <c r="F170" t="s">
        <v>648</v>
      </c>
      <c r="G170" s="6" t="s">
        <v>1272</v>
      </c>
      <c r="H170" t="s">
        <v>1107</v>
      </c>
      <c r="I170" t="s">
        <v>1155</v>
      </c>
      <c r="J170" t="s">
        <v>1156</v>
      </c>
      <c r="K170">
        <v>4679</v>
      </c>
      <c r="L170" t="s">
        <v>680</v>
      </c>
      <c r="N170">
        <v>19469</v>
      </c>
      <c r="O170">
        <v>16888</v>
      </c>
      <c r="V170" t="s">
        <v>1115</v>
      </c>
      <c r="W170" s="1" t="s">
        <v>888</v>
      </c>
      <c r="AC170" t="s">
        <v>1259</v>
      </c>
      <c r="AD170" t="s">
        <v>1259</v>
      </c>
      <c r="AE170" t="s">
        <v>1260</v>
      </c>
      <c r="AK170" t="s">
        <v>1107</v>
      </c>
      <c r="AL170" t="s">
        <v>925</v>
      </c>
      <c r="AM170" t="s">
        <v>1108</v>
      </c>
      <c r="AN170" t="s">
        <v>687</v>
      </c>
      <c r="AQ170" t="s">
        <v>1108</v>
      </c>
      <c r="AR170" t="s">
        <v>1101</v>
      </c>
      <c r="BC170" t="s">
        <v>1109</v>
      </c>
      <c r="BE170">
        <v>40609.414976851855</v>
      </c>
      <c r="BF170" t="s">
        <v>923</v>
      </c>
    </row>
    <row r="171" spans="1:59" x14ac:dyDescent="0.2">
      <c r="A171">
        <v>200</v>
      </c>
      <c r="C171" t="s">
        <v>1580</v>
      </c>
      <c r="D171" t="s">
        <v>400</v>
      </c>
      <c r="E171" t="str">
        <f t="shared" si="2"/>
        <v>z0016884</v>
      </c>
      <c r="F171" t="s">
        <v>648</v>
      </c>
      <c r="G171" s="6" t="s">
        <v>1581</v>
      </c>
      <c r="H171" t="s">
        <v>1107</v>
      </c>
      <c r="I171" t="s">
        <v>1155</v>
      </c>
      <c r="J171" t="s">
        <v>1156</v>
      </c>
      <c r="K171">
        <v>4675</v>
      </c>
      <c r="L171" t="s">
        <v>680</v>
      </c>
      <c r="N171">
        <v>19465</v>
      </c>
      <c r="O171">
        <v>16884</v>
      </c>
      <c r="V171" t="s">
        <v>1111</v>
      </c>
      <c r="W171" s="1" t="s">
        <v>888</v>
      </c>
      <c r="AC171" t="s">
        <v>1259</v>
      </c>
      <c r="AD171" t="s">
        <v>1259</v>
      </c>
      <c r="AE171" t="s">
        <v>1260</v>
      </c>
      <c r="AK171" t="s">
        <v>1107</v>
      </c>
      <c r="AL171" t="s">
        <v>925</v>
      </c>
      <c r="AM171" t="s">
        <v>1108</v>
      </c>
      <c r="AN171" t="s">
        <v>687</v>
      </c>
      <c r="AQ171" t="s">
        <v>1108</v>
      </c>
      <c r="AR171" t="s">
        <v>1101</v>
      </c>
      <c r="BC171" t="s">
        <v>1109</v>
      </c>
      <c r="BE171">
        <v>40609.415034722224</v>
      </c>
      <c r="BF171" t="s">
        <v>923</v>
      </c>
    </row>
    <row r="172" spans="1:59" x14ac:dyDescent="0.2">
      <c r="A172">
        <v>81</v>
      </c>
      <c r="C172" t="s">
        <v>1334</v>
      </c>
      <c r="D172" t="s">
        <v>440</v>
      </c>
      <c r="E172" t="str">
        <f t="shared" si="2"/>
        <v>z0040942</v>
      </c>
      <c r="F172" t="s">
        <v>648</v>
      </c>
      <c r="G172" s="6" t="s">
        <v>1335</v>
      </c>
      <c r="H172" t="s">
        <v>1177</v>
      </c>
      <c r="I172" t="s">
        <v>1155</v>
      </c>
      <c r="J172" t="s">
        <v>1162</v>
      </c>
      <c r="K172">
        <v>22353</v>
      </c>
      <c r="L172" t="s">
        <v>680</v>
      </c>
      <c r="N172">
        <v>11770</v>
      </c>
      <c r="O172">
        <v>40942</v>
      </c>
      <c r="V172" t="s">
        <v>962</v>
      </c>
      <c r="W172" s="1">
        <v>38010</v>
      </c>
      <c r="X172">
        <v>2004</v>
      </c>
      <c r="Y172">
        <v>1</v>
      </c>
      <c r="Z172">
        <v>24</v>
      </c>
      <c r="AA172" t="s">
        <v>704</v>
      </c>
      <c r="AC172" t="s">
        <v>1178</v>
      </c>
      <c r="AD172" t="s">
        <v>1178</v>
      </c>
      <c r="AE172" t="s">
        <v>1288</v>
      </c>
      <c r="AF172" t="s">
        <v>963</v>
      </c>
      <c r="AK172" t="s">
        <v>706</v>
      </c>
      <c r="AL172" t="s">
        <v>686</v>
      </c>
      <c r="AM172" t="s">
        <v>687</v>
      </c>
      <c r="AN172" t="s">
        <v>687</v>
      </c>
      <c r="AR172" t="s">
        <v>688</v>
      </c>
      <c r="AS172" t="s">
        <v>922</v>
      </c>
      <c r="BE172">
        <v>40500.491099537037</v>
      </c>
      <c r="BF172" t="s">
        <v>923</v>
      </c>
    </row>
    <row r="173" spans="1:59" x14ac:dyDescent="0.2">
      <c r="A173">
        <v>82</v>
      </c>
      <c r="C173" t="s">
        <v>1336</v>
      </c>
      <c r="D173" t="s">
        <v>441</v>
      </c>
      <c r="E173" t="str">
        <f t="shared" si="2"/>
        <v>z0040943</v>
      </c>
      <c r="F173" t="s">
        <v>648</v>
      </c>
      <c r="G173" s="6" t="s">
        <v>1337</v>
      </c>
      <c r="H173" t="s">
        <v>1177</v>
      </c>
      <c r="I173" t="s">
        <v>1155</v>
      </c>
      <c r="J173" t="s">
        <v>1162</v>
      </c>
      <c r="K173">
        <v>22354</v>
      </c>
      <c r="L173" t="s">
        <v>680</v>
      </c>
      <c r="N173">
        <v>5753</v>
      </c>
      <c r="O173">
        <v>40943</v>
      </c>
      <c r="V173" t="s">
        <v>964</v>
      </c>
      <c r="W173" s="1">
        <v>38010</v>
      </c>
      <c r="X173">
        <v>2004</v>
      </c>
      <c r="Y173">
        <v>1</v>
      </c>
      <c r="Z173">
        <v>24</v>
      </c>
      <c r="AA173" t="s">
        <v>704</v>
      </c>
      <c r="AC173" t="s">
        <v>1178</v>
      </c>
      <c r="AD173" t="s">
        <v>1178</v>
      </c>
      <c r="AE173" t="s">
        <v>1288</v>
      </c>
      <c r="AF173" t="s">
        <v>963</v>
      </c>
      <c r="AK173" t="s">
        <v>706</v>
      </c>
      <c r="AL173" t="s">
        <v>686</v>
      </c>
      <c r="AM173" t="s">
        <v>687</v>
      </c>
      <c r="AN173" t="s">
        <v>687</v>
      </c>
      <c r="AR173" t="s">
        <v>707</v>
      </c>
      <c r="AS173" t="s">
        <v>965</v>
      </c>
      <c r="BE173">
        <v>40609.414513888885</v>
      </c>
      <c r="BF173" t="s">
        <v>923</v>
      </c>
    </row>
    <row r="174" spans="1:59" x14ac:dyDescent="0.2">
      <c r="A174">
        <v>83</v>
      </c>
      <c r="C174" t="s">
        <v>1338</v>
      </c>
      <c r="D174" t="s">
        <v>442</v>
      </c>
      <c r="E174" t="str">
        <f t="shared" si="2"/>
        <v>z0040945</v>
      </c>
      <c r="F174" t="s">
        <v>648</v>
      </c>
      <c r="G174" s="6" t="s">
        <v>1339</v>
      </c>
      <c r="H174" t="s">
        <v>1177</v>
      </c>
      <c r="I174" t="s">
        <v>1155</v>
      </c>
      <c r="J174" t="s">
        <v>1156</v>
      </c>
      <c r="K174">
        <v>22356</v>
      </c>
      <c r="L174" t="s">
        <v>680</v>
      </c>
      <c r="N174">
        <v>5760</v>
      </c>
      <c r="O174">
        <v>40945</v>
      </c>
      <c r="V174" t="s">
        <v>966</v>
      </c>
      <c r="W174" s="1">
        <v>38013</v>
      </c>
      <c r="X174">
        <v>2004</v>
      </c>
      <c r="Y174">
        <v>1</v>
      </c>
      <c r="Z174">
        <v>27</v>
      </c>
      <c r="AA174" t="s">
        <v>704</v>
      </c>
      <c r="AC174" t="s">
        <v>1178</v>
      </c>
      <c r="AD174" t="s">
        <v>1178</v>
      </c>
      <c r="AE174" t="s">
        <v>1288</v>
      </c>
      <c r="AF174" t="s">
        <v>963</v>
      </c>
      <c r="AK174" t="s">
        <v>706</v>
      </c>
      <c r="AL174" t="s">
        <v>686</v>
      </c>
      <c r="AM174" t="s">
        <v>687</v>
      </c>
      <c r="AN174" t="s">
        <v>687</v>
      </c>
      <c r="AR174" t="s">
        <v>707</v>
      </c>
      <c r="AS174" t="s">
        <v>965</v>
      </c>
      <c r="BE174">
        <v>40609.41510416667</v>
      </c>
      <c r="BF174" t="s">
        <v>923</v>
      </c>
    </row>
    <row r="175" spans="1:59" x14ac:dyDescent="0.2">
      <c r="B175" s="3" t="s">
        <v>702</v>
      </c>
      <c r="C175" s="3" t="s">
        <v>96</v>
      </c>
      <c r="D175" s="3" t="s">
        <v>420</v>
      </c>
      <c r="E175" t="str">
        <f t="shared" si="2"/>
        <v>z0032025</v>
      </c>
      <c r="F175" s="3" t="s">
        <v>648</v>
      </c>
      <c r="G175" s="3"/>
      <c r="H175" s="3"/>
      <c r="I175" s="3" t="s">
        <v>1638</v>
      </c>
      <c r="J175" s="3"/>
      <c r="K175" s="3"/>
      <c r="L175" s="3" t="s">
        <v>680</v>
      </c>
      <c r="M175" s="3" t="s">
        <v>681</v>
      </c>
      <c r="N175" s="4">
        <v>8340</v>
      </c>
      <c r="O175" s="4">
        <v>32025</v>
      </c>
      <c r="P175" s="4">
        <v>1</v>
      </c>
      <c r="Q175" s="3" t="s">
        <v>690</v>
      </c>
      <c r="R175" s="4">
        <v>23</v>
      </c>
      <c r="S175" s="4">
        <v>1</v>
      </c>
      <c r="T175" s="4">
        <v>4</v>
      </c>
      <c r="U175" s="3"/>
      <c r="V175" s="3" t="s">
        <v>703</v>
      </c>
      <c r="W175" s="5">
        <v>37656</v>
      </c>
      <c r="X175" s="4">
        <v>2003</v>
      </c>
      <c r="Y175" s="4">
        <v>2</v>
      </c>
      <c r="Z175" s="4">
        <v>4</v>
      </c>
      <c r="AA175" s="3" t="s">
        <v>704</v>
      </c>
      <c r="AC175" t="s">
        <v>1178</v>
      </c>
      <c r="AD175" t="s">
        <v>1178</v>
      </c>
      <c r="AE175" t="s">
        <v>1288</v>
      </c>
      <c r="AF175" s="3" t="s">
        <v>705</v>
      </c>
      <c r="AG175" s="3"/>
      <c r="AH175" s="3"/>
      <c r="AI175" s="3"/>
      <c r="AJ175" s="3"/>
      <c r="AK175" s="3" t="s">
        <v>706</v>
      </c>
      <c r="AL175" s="3" t="s">
        <v>686</v>
      </c>
      <c r="AM175" s="3" t="s">
        <v>687</v>
      </c>
      <c r="AN175" s="3" t="s">
        <v>687</v>
      </c>
      <c r="AO175" s="3"/>
      <c r="AP175" s="3"/>
      <c r="AQ175" s="3"/>
      <c r="AR175" s="3" t="s">
        <v>707</v>
      </c>
      <c r="AS175" s="3"/>
      <c r="AT175" s="3"/>
      <c r="AU175" s="3"/>
      <c r="AV175" s="3"/>
      <c r="AW175" s="3"/>
      <c r="AX175" s="3"/>
      <c r="AY175" s="3"/>
      <c r="AZ175" s="3"/>
      <c r="BA175" s="3"/>
      <c r="BB175" s="3"/>
      <c r="BC175" s="3" t="s">
        <v>708</v>
      </c>
    </row>
    <row r="176" spans="1:59" x14ac:dyDescent="0.2">
      <c r="B176" s="3" t="s">
        <v>709</v>
      </c>
      <c r="C176" s="3" t="s">
        <v>97</v>
      </c>
      <c r="D176" s="3" t="s">
        <v>421</v>
      </c>
      <c r="E176" t="str">
        <f t="shared" si="2"/>
        <v>z0032028</v>
      </c>
      <c r="F176" s="3" t="s">
        <v>648</v>
      </c>
      <c r="G176" s="3"/>
      <c r="H176" s="3"/>
      <c r="I176" s="3" t="s">
        <v>1638</v>
      </c>
      <c r="J176" s="3"/>
      <c r="K176" s="3"/>
      <c r="L176" s="3" t="s">
        <v>680</v>
      </c>
      <c r="M176" s="3" t="s">
        <v>681</v>
      </c>
      <c r="N176" s="4">
        <v>8343</v>
      </c>
      <c r="O176" s="4">
        <v>32028</v>
      </c>
      <c r="P176" s="4">
        <v>1</v>
      </c>
      <c r="Q176" s="3" t="s">
        <v>690</v>
      </c>
      <c r="R176" s="4">
        <v>23</v>
      </c>
      <c r="S176" s="4">
        <v>1</v>
      </c>
      <c r="T176" s="4">
        <v>4</v>
      </c>
      <c r="U176" s="4">
        <v>7.44</v>
      </c>
      <c r="V176" s="3" t="s">
        <v>710</v>
      </c>
      <c r="W176" s="5">
        <v>37661</v>
      </c>
      <c r="X176" s="4">
        <v>2003</v>
      </c>
      <c r="Y176" s="4">
        <v>2</v>
      </c>
      <c r="Z176" s="4">
        <v>9</v>
      </c>
      <c r="AA176" s="3" t="s">
        <v>704</v>
      </c>
      <c r="AC176" t="s">
        <v>1178</v>
      </c>
      <c r="AD176" t="s">
        <v>1178</v>
      </c>
      <c r="AE176" t="s">
        <v>1288</v>
      </c>
      <c r="AF176" s="3" t="s">
        <v>705</v>
      </c>
      <c r="AG176" s="3"/>
      <c r="AH176" s="3"/>
      <c r="AI176" s="3"/>
      <c r="AJ176" s="3"/>
      <c r="AK176" s="3" t="s">
        <v>706</v>
      </c>
      <c r="AL176" s="3" t="s">
        <v>686</v>
      </c>
      <c r="AM176" s="3" t="s">
        <v>687</v>
      </c>
      <c r="AN176" s="3" t="s">
        <v>687</v>
      </c>
      <c r="AO176" s="3"/>
      <c r="AP176" s="3"/>
      <c r="AQ176" s="3"/>
      <c r="AR176" s="3" t="s">
        <v>688</v>
      </c>
      <c r="AS176" s="3"/>
      <c r="AT176" s="3"/>
      <c r="AU176" s="3"/>
      <c r="AV176" s="3"/>
      <c r="AW176" s="3"/>
      <c r="AX176" s="3"/>
      <c r="AY176" s="3"/>
      <c r="AZ176" s="3"/>
      <c r="BA176" s="3"/>
      <c r="BB176" s="3"/>
      <c r="BC176" s="3"/>
      <c r="BD176" s="3"/>
    </row>
    <row r="177" spans="1:58" x14ac:dyDescent="0.2">
      <c r="A177">
        <v>61</v>
      </c>
      <c r="C177" t="s">
        <v>1286</v>
      </c>
      <c r="D177" t="s">
        <v>415</v>
      </c>
      <c r="E177" t="str">
        <f t="shared" si="2"/>
        <v>z0032021</v>
      </c>
      <c r="F177" t="s">
        <v>648</v>
      </c>
      <c r="G177" s="6" t="s">
        <v>1287</v>
      </c>
      <c r="H177" t="s">
        <v>1177</v>
      </c>
      <c r="I177" t="s">
        <v>1155</v>
      </c>
      <c r="J177" t="s">
        <v>1156</v>
      </c>
      <c r="K177">
        <v>17351</v>
      </c>
      <c r="L177" t="s">
        <v>680</v>
      </c>
      <c r="N177">
        <v>8336</v>
      </c>
      <c r="O177">
        <v>32021</v>
      </c>
      <c r="V177" t="s">
        <v>929</v>
      </c>
      <c r="W177" s="1">
        <v>37651</v>
      </c>
      <c r="X177">
        <v>2003</v>
      </c>
      <c r="Y177">
        <v>1</v>
      </c>
      <c r="Z177">
        <v>30</v>
      </c>
      <c r="AA177" t="s">
        <v>704</v>
      </c>
      <c r="AC177" t="s">
        <v>1178</v>
      </c>
      <c r="AD177" t="s">
        <v>1178</v>
      </c>
      <c r="AE177" t="s">
        <v>1288</v>
      </c>
      <c r="AF177" t="s">
        <v>705</v>
      </c>
      <c r="AK177" t="s">
        <v>706</v>
      </c>
      <c r="AL177" t="s">
        <v>686</v>
      </c>
      <c r="AM177" t="s">
        <v>687</v>
      </c>
      <c r="AN177" t="s">
        <v>687</v>
      </c>
      <c r="AR177" t="s">
        <v>707</v>
      </c>
      <c r="AS177" t="s">
        <v>922</v>
      </c>
      <c r="AX177">
        <v>170</v>
      </c>
      <c r="AY177">
        <v>150</v>
      </c>
      <c r="BE177">
        <v>41981.501435185186</v>
      </c>
      <c r="BF177" t="s">
        <v>923</v>
      </c>
    </row>
    <row r="178" spans="1:58" x14ac:dyDescent="0.2">
      <c r="A178">
        <v>62</v>
      </c>
      <c r="C178" t="s">
        <v>1289</v>
      </c>
      <c r="D178" t="s">
        <v>417</v>
      </c>
      <c r="E178" t="str">
        <f t="shared" si="2"/>
        <v>z0032022</v>
      </c>
      <c r="F178" t="s">
        <v>648</v>
      </c>
      <c r="G178" s="6" t="s">
        <v>1290</v>
      </c>
      <c r="H178" t="s">
        <v>1177</v>
      </c>
      <c r="I178" t="s">
        <v>1155</v>
      </c>
      <c r="J178" t="s">
        <v>1162</v>
      </c>
      <c r="K178">
        <v>17352</v>
      </c>
      <c r="L178" t="s">
        <v>680</v>
      </c>
      <c r="N178">
        <v>8337</v>
      </c>
      <c r="O178">
        <v>32022</v>
      </c>
      <c r="V178" t="s">
        <v>930</v>
      </c>
      <c r="W178" s="1">
        <v>37651</v>
      </c>
      <c r="X178">
        <v>2003</v>
      </c>
      <c r="Y178">
        <v>1</v>
      </c>
      <c r="Z178">
        <v>30</v>
      </c>
      <c r="AA178" t="s">
        <v>704</v>
      </c>
      <c r="AC178" t="s">
        <v>1178</v>
      </c>
      <c r="AD178" t="s">
        <v>1178</v>
      </c>
      <c r="AE178" t="s">
        <v>1288</v>
      </c>
      <c r="AF178" t="s">
        <v>705</v>
      </c>
      <c r="AK178" t="s">
        <v>706</v>
      </c>
      <c r="AL178" t="s">
        <v>686</v>
      </c>
      <c r="AM178" t="s">
        <v>687</v>
      </c>
      <c r="AN178" t="s">
        <v>687</v>
      </c>
      <c r="AR178" t="s">
        <v>707</v>
      </c>
      <c r="AS178" t="s">
        <v>922</v>
      </c>
      <c r="AX178">
        <v>135</v>
      </c>
      <c r="AY178">
        <v>114</v>
      </c>
      <c r="BE178">
        <v>41981.501435185186</v>
      </c>
      <c r="BF178" t="s">
        <v>923</v>
      </c>
    </row>
    <row r="179" spans="1:58" x14ac:dyDescent="0.2">
      <c r="A179">
        <v>63</v>
      </c>
      <c r="C179" t="s">
        <v>1291</v>
      </c>
      <c r="D179" t="s">
        <v>418</v>
      </c>
      <c r="E179" t="str">
        <f t="shared" si="2"/>
        <v>z0032023</v>
      </c>
      <c r="F179" t="s">
        <v>648</v>
      </c>
      <c r="G179" s="6" t="s">
        <v>1292</v>
      </c>
      <c r="H179" t="s">
        <v>1177</v>
      </c>
      <c r="I179" t="s">
        <v>1155</v>
      </c>
      <c r="J179" t="s">
        <v>1156</v>
      </c>
      <c r="K179">
        <v>17353</v>
      </c>
      <c r="L179" t="s">
        <v>680</v>
      </c>
      <c r="N179">
        <v>8338</v>
      </c>
      <c r="O179">
        <v>32023</v>
      </c>
      <c r="V179" t="s">
        <v>931</v>
      </c>
      <c r="W179" s="1">
        <v>37653</v>
      </c>
      <c r="X179">
        <v>2003</v>
      </c>
      <c r="Y179">
        <v>2</v>
      </c>
      <c r="Z179">
        <v>1</v>
      </c>
      <c r="AA179" t="s">
        <v>704</v>
      </c>
      <c r="AC179" t="s">
        <v>1178</v>
      </c>
      <c r="AD179" t="s">
        <v>1178</v>
      </c>
      <c r="AE179" t="s">
        <v>1288</v>
      </c>
      <c r="AF179" t="s">
        <v>705</v>
      </c>
      <c r="AK179" t="s">
        <v>706</v>
      </c>
      <c r="AL179" t="s">
        <v>686</v>
      </c>
      <c r="AM179" t="s">
        <v>687</v>
      </c>
      <c r="AN179" t="s">
        <v>687</v>
      </c>
      <c r="AR179" t="s">
        <v>688</v>
      </c>
      <c r="AS179" t="s">
        <v>922</v>
      </c>
      <c r="AX179">
        <v>155</v>
      </c>
      <c r="AY179">
        <v>103</v>
      </c>
      <c r="BE179">
        <v>41981.501435185186</v>
      </c>
      <c r="BF179" t="s">
        <v>923</v>
      </c>
    </row>
    <row r="180" spans="1:58" x14ac:dyDescent="0.2">
      <c r="A180">
        <v>64</v>
      </c>
      <c r="C180" t="s">
        <v>1293</v>
      </c>
      <c r="D180" t="s">
        <v>419</v>
      </c>
      <c r="E180" t="str">
        <f t="shared" si="2"/>
        <v>z0032024</v>
      </c>
      <c r="F180" t="s">
        <v>648</v>
      </c>
      <c r="G180" s="6" t="s">
        <v>1294</v>
      </c>
      <c r="H180" t="s">
        <v>1177</v>
      </c>
      <c r="I180" t="s">
        <v>1155</v>
      </c>
      <c r="J180" t="s">
        <v>1156</v>
      </c>
      <c r="K180">
        <v>17354</v>
      </c>
      <c r="L180" t="s">
        <v>680</v>
      </c>
      <c r="N180">
        <v>8339</v>
      </c>
      <c r="O180">
        <v>32024</v>
      </c>
      <c r="V180" t="s">
        <v>932</v>
      </c>
      <c r="W180" s="1">
        <v>37654</v>
      </c>
      <c r="X180">
        <v>2003</v>
      </c>
      <c r="Y180">
        <v>2</v>
      </c>
      <c r="Z180">
        <v>2</v>
      </c>
      <c r="AA180" t="s">
        <v>704</v>
      </c>
      <c r="AC180" t="s">
        <v>1178</v>
      </c>
      <c r="AD180" t="s">
        <v>1178</v>
      </c>
      <c r="AE180" t="s">
        <v>1288</v>
      </c>
      <c r="AF180" t="s">
        <v>705</v>
      </c>
      <c r="AK180" t="s">
        <v>706</v>
      </c>
      <c r="AL180" t="s">
        <v>686</v>
      </c>
      <c r="AM180" t="s">
        <v>687</v>
      </c>
      <c r="AN180" t="s">
        <v>687</v>
      </c>
      <c r="AR180" t="s">
        <v>707</v>
      </c>
      <c r="AS180" t="s">
        <v>922</v>
      </c>
      <c r="AX180">
        <v>160</v>
      </c>
      <c r="AY180">
        <v>120</v>
      </c>
      <c r="BC180" t="s">
        <v>708</v>
      </c>
      <c r="BE180">
        <v>41981.501435185186</v>
      </c>
      <c r="BF180" t="s">
        <v>923</v>
      </c>
    </row>
    <row r="181" spans="1:58" x14ac:dyDescent="0.2">
      <c r="A181">
        <v>65</v>
      </c>
      <c r="C181" t="s">
        <v>1295</v>
      </c>
      <c r="D181" t="s">
        <v>422</v>
      </c>
      <c r="E181" t="str">
        <f t="shared" si="2"/>
        <v>z0032030</v>
      </c>
      <c r="F181" t="s">
        <v>648</v>
      </c>
      <c r="G181" s="6" t="s">
        <v>1296</v>
      </c>
      <c r="H181" t="s">
        <v>1177</v>
      </c>
      <c r="I181" t="s">
        <v>1155</v>
      </c>
      <c r="J181" t="s">
        <v>1156</v>
      </c>
      <c r="K181">
        <v>17360</v>
      </c>
      <c r="L181" t="s">
        <v>680</v>
      </c>
      <c r="N181">
        <v>8345</v>
      </c>
      <c r="O181">
        <v>32030</v>
      </c>
      <c r="V181" t="s">
        <v>933</v>
      </c>
      <c r="W181" s="1">
        <v>37663</v>
      </c>
      <c r="X181">
        <v>2003</v>
      </c>
      <c r="Y181">
        <v>2</v>
      </c>
      <c r="Z181">
        <v>11</v>
      </c>
      <c r="AA181" t="s">
        <v>704</v>
      </c>
      <c r="AC181" t="s">
        <v>1178</v>
      </c>
      <c r="AD181" t="s">
        <v>1178</v>
      </c>
      <c r="AE181" t="s">
        <v>1288</v>
      </c>
      <c r="AF181" t="s">
        <v>705</v>
      </c>
      <c r="AK181" t="s">
        <v>706</v>
      </c>
      <c r="AL181" t="s">
        <v>686</v>
      </c>
      <c r="AM181" t="s">
        <v>687</v>
      </c>
      <c r="AN181" t="s">
        <v>687</v>
      </c>
      <c r="AR181" t="s">
        <v>688</v>
      </c>
      <c r="AS181" t="s">
        <v>922</v>
      </c>
      <c r="AX181">
        <v>170</v>
      </c>
      <c r="AY181">
        <v>120</v>
      </c>
      <c r="BE181">
        <v>41981.501435185186</v>
      </c>
      <c r="BF181" t="s">
        <v>923</v>
      </c>
    </row>
    <row r="182" spans="1:58" x14ac:dyDescent="0.2">
      <c r="A182">
        <v>66</v>
      </c>
      <c r="C182" t="s">
        <v>1297</v>
      </c>
      <c r="D182" t="s">
        <v>423</v>
      </c>
      <c r="E182" t="str">
        <f t="shared" si="2"/>
        <v>z0032031</v>
      </c>
      <c r="F182" t="s">
        <v>648</v>
      </c>
      <c r="G182" s="6" t="s">
        <v>1298</v>
      </c>
      <c r="H182" t="s">
        <v>1177</v>
      </c>
      <c r="I182" t="s">
        <v>1155</v>
      </c>
      <c r="J182" t="s">
        <v>1156</v>
      </c>
      <c r="K182">
        <v>17361</v>
      </c>
      <c r="L182" t="s">
        <v>680</v>
      </c>
      <c r="N182">
        <v>8346</v>
      </c>
      <c r="O182">
        <v>32031</v>
      </c>
      <c r="V182" t="s">
        <v>934</v>
      </c>
      <c r="W182" s="1">
        <v>37663</v>
      </c>
      <c r="X182">
        <v>2003</v>
      </c>
      <c r="Y182">
        <v>2</v>
      </c>
      <c r="Z182">
        <v>11</v>
      </c>
      <c r="AA182" t="s">
        <v>704</v>
      </c>
      <c r="AC182" t="s">
        <v>1178</v>
      </c>
      <c r="AD182" t="s">
        <v>1178</v>
      </c>
      <c r="AE182" t="s">
        <v>1288</v>
      </c>
      <c r="AF182" t="s">
        <v>705</v>
      </c>
      <c r="AK182" t="s">
        <v>706</v>
      </c>
      <c r="AL182" t="s">
        <v>686</v>
      </c>
      <c r="AM182" t="s">
        <v>687</v>
      </c>
      <c r="AN182" t="s">
        <v>687</v>
      </c>
      <c r="AR182" t="s">
        <v>688</v>
      </c>
      <c r="AS182" t="s">
        <v>922</v>
      </c>
      <c r="AX182">
        <v>150</v>
      </c>
      <c r="AY182">
        <v>110</v>
      </c>
      <c r="BE182">
        <v>41981.501435185186</v>
      </c>
      <c r="BF182" t="s">
        <v>923</v>
      </c>
    </row>
    <row r="183" spans="1:58" x14ac:dyDescent="0.2">
      <c r="A183">
        <v>205</v>
      </c>
      <c r="C183" t="s">
        <v>1590</v>
      </c>
      <c r="D183" t="s">
        <v>416</v>
      </c>
      <c r="E183" t="str">
        <f t="shared" si="2"/>
        <v>z0032021</v>
      </c>
      <c r="F183" t="s">
        <v>648</v>
      </c>
      <c r="G183" s="6" t="s">
        <v>1591</v>
      </c>
      <c r="H183" t="s">
        <v>1177</v>
      </c>
      <c r="I183" t="s">
        <v>1155</v>
      </c>
      <c r="J183" t="s">
        <v>1162</v>
      </c>
      <c r="K183">
        <v>17351</v>
      </c>
      <c r="L183" t="s">
        <v>680</v>
      </c>
      <c r="N183">
        <v>8336</v>
      </c>
      <c r="O183">
        <v>32021</v>
      </c>
      <c r="V183" t="s">
        <v>929</v>
      </c>
      <c r="W183" s="1">
        <v>37651</v>
      </c>
      <c r="X183">
        <v>2003</v>
      </c>
      <c r="Y183">
        <v>1</v>
      </c>
      <c r="Z183">
        <v>30</v>
      </c>
      <c r="AA183" t="s">
        <v>704</v>
      </c>
      <c r="AC183" t="s">
        <v>1178</v>
      </c>
      <c r="AD183" t="s">
        <v>1178</v>
      </c>
      <c r="AE183" t="s">
        <v>1288</v>
      </c>
      <c r="AF183" t="s">
        <v>705</v>
      </c>
      <c r="AK183" t="s">
        <v>706</v>
      </c>
      <c r="AL183" t="s">
        <v>686</v>
      </c>
      <c r="AM183" t="s">
        <v>687</v>
      </c>
      <c r="AN183" t="s">
        <v>687</v>
      </c>
      <c r="AR183" t="s">
        <v>707</v>
      </c>
      <c r="AS183" t="s">
        <v>922</v>
      </c>
      <c r="AX183">
        <v>170</v>
      </c>
      <c r="AY183">
        <v>150</v>
      </c>
      <c r="BE183">
        <v>41981.501435185186</v>
      </c>
      <c r="BF183" t="s">
        <v>923</v>
      </c>
    </row>
    <row r="184" spans="1:58" x14ac:dyDescent="0.2">
      <c r="A184">
        <v>9</v>
      </c>
      <c r="C184" t="s">
        <v>1175</v>
      </c>
      <c r="D184" t="s">
        <v>335</v>
      </c>
      <c r="E184" t="str">
        <f t="shared" si="2"/>
        <v>z0006805</v>
      </c>
      <c r="F184" t="s">
        <v>648</v>
      </c>
      <c r="G184" s="6" t="s">
        <v>1176</v>
      </c>
      <c r="H184" t="s">
        <v>1177</v>
      </c>
      <c r="I184" t="s">
        <v>1155</v>
      </c>
      <c r="J184" t="s">
        <v>1162</v>
      </c>
      <c r="K184">
        <v>799</v>
      </c>
      <c r="L184" t="s">
        <v>680</v>
      </c>
      <c r="N184">
        <v>868</v>
      </c>
      <c r="O184">
        <v>6805</v>
      </c>
      <c r="V184" t="s">
        <v>1116</v>
      </c>
      <c r="W184" s="1" t="s">
        <v>888</v>
      </c>
      <c r="AC184" t="s">
        <v>1178</v>
      </c>
      <c r="AD184" t="s">
        <v>1178</v>
      </c>
      <c r="AE184" t="s">
        <v>1179</v>
      </c>
      <c r="AK184" t="s">
        <v>706</v>
      </c>
      <c r="AL184" t="s">
        <v>925</v>
      </c>
      <c r="AM184" t="s">
        <v>1052</v>
      </c>
      <c r="AN184" t="s">
        <v>1052</v>
      </c>
      <c r="AR184" t="s">
        <v>688</v>
      </c>
      <c r="AU184">
        <v>12</v>
      </c>
      <c r="BC184" t="s">
        <v>1117</v>
      </c>
      <c r="BE184">
        <v>44495.621261574073</v>
      </c>
      <c r="BF184" t="s">
        <v>923</v>
      </c>
    </row>
    <row r="185" spans="1:58" x14ac:dyDescent="0.2">
      <c r="A185">
        <v>55</v>
      </c>
      <c r="C185" t="s">
        <v>1273</v>
      </c>
      <c r="D185" t="s">
        <v>405</v>
      </c>
      <c r="E185" t="str">
        <f t="shared" si="2"/>
        <v>z0026450</v>
      </c>
      <c r="F185" t="s">
        <v>648</v>
      </c>
      <c r="G185" s="6" t="s">
        <v>1274</v>
      </c>
      <c r="H185" t="s">
        <v>1177</v>
      </c>
      <c r="I185" t="s">
        <v>1155</v>
      </c>
      <c r="J185" t="s">
        <v>1156</v>
      </c>
      <c r="K185">
        <v>11355</v>
      </c>
      <c r="L185" t="s">
        <v>680</v>
      </c>
      <c r="N185">
        <v>5753</v>
      </c>
      <c r="O185">
        <v>26450</v>
      </c>
      <c r="V185" t="s">
        <v>964</v>
      </c>
      <c r="W185" s="1" t="s">
        <v>1135</v>
      </c>
      <c r="X185">
        <v>2001</v>
      </c>
      <c r="Y185">
        <v>12</v>
      </c>
      <c r="AA185" t="s">
        <v>704</v>
      </c>
      <c r="AC185" t="s">
        <v>1178</v>
      </c>
      <c r="AD185" t="s">
        <v>1178</v>
      </c>
      <c r="AE185" t="s">
        <v>1275</v>
      </c>
      <c r="AK185" t="s">
        <v>706</v>
      </c>
      <c r="AL185" t="s">
        <v>686</v>
      </c>
      <c r="AM185" t="s">
        <v>687</v>
      </c>
      <c r="AN185" t="s">
        <v>687</v>
      </c>
      <c r="AR185" t="s">
        <v>921</v>
      </c>
      <c r="AS185" t="s">
        <v>922</v>
      </c>
      <c r="BE185">
        <v>40500.491099537037</v>
      </c>
      <c r="BF185" t="s">
        <v>923</v>
      </c>
    </row>
    <row r="186" spans="1:58" x14ac:dyDescent="0.2">
      <c r="A186">
        <v>56</v>
      </c>
      <c r="C186" t="s">
        <v>1276</v>
      </c>
      <c r="D186" t="s">
        <v>407</v>
      </c>
      <c r="E186" t="str">
        <f t="shared" si="2"/>
        <v>z0026451</v>
      </c>
      <c r="F186" t="s">
        <v>648</v>
      </c>
      <c r="G186" s="6" t="s">
        <v>1277</v>
      </c>
      <c r="H186" t="s">
        <v>1177</v>
      </c>
      <c r="I186" t="s">
        <v>1155</v>
      </c>
      <c r="J186" t="s">
        <v>1156</v>
      </c>
      <c r="K186">
        <v>11356</v>
      </c>
      <c r="L186" t="s">
        <v>680</v>
      </c>
      <c r="N186">
        <v>5754</v>
      </c>
      <c r="O186">
        <v>26451</v>
      </c>
      <c r="V186" t="s">
        <v>1136</v>
      </c>
      <c r="W186" s="1" t="s">
        <v>1135</v>
      </c>
      <c r="X186">
        <v>2001</v>
      </c>
      <c r="Y186">
        <v>12</v>
      </c>
      <c r="AA186" t="s">
        <v>704</v>
      </c>
      <c r="AC186" t="s">
        <v>1178</v>
      </c>
      <c r="AD186" t="s">
        <v>1178</v>
      </c>
      <c r="AE186" t="s">
        <v>1275</v>
      </c>
      <c r="AK186" t="s">
        <v>706</v>
      </c>
      <c r="AL186" t="s">
        <v>686</v>
      </c>
      <c r="AM186" t="s">
        <v>687</v>
      </c>
      <c r="AN186" t="s">
        <v>687</v>
      </c>
      <c r="AR186" t="s">
        <v>921</v>
      </c>
      <c r="AS186" t="s">
        <v>922</v>
      </c>
      <c r="BE186">
        <v>40500.491099537037</v>
      </c>
      <c r="BF186" t="s">
        <v>923</v>
      </c>
    </row>
    <row r="187" spans="1:58" x14ac:dyDescent="0.2">
      <c r="A187">
        <v>57</v>
      </c>
      <c r="C187" t="s">
        <v>1278</v>
      </c>
      <c r="D187" t="s">
        <v>409</v>
      </c>
      <c r="E187" t="str">
        <f t="shared" si="2"/>
        <v>z0026452</v>
      </c>
      <c r="F187" t="s">
        <v>648</v>
      </c>
      <c r="G187" s="6" t="s">
        <v>1279</v>
      </c>
      <c r="H187" t="s">
        <v>1177</v>
      </c>
      <c r="I187" t="s">
        <v>1155</v>
      </c>
      <c r="J187" t="s">
        <v>1156</v>
      </c>
      <c r="K187">
        <v>11357</v>
      </c>
      <c r="L187" t="s">
        <v>680</v>
      </c>
      <c r="N187">
        <v>5755</v>
      </c>
      <c r="O187">
        <v>26452</v>
      </c>
      <c r="V187" t="s">
        <v>1137</v>
      </c>
      <c r="W187" s="1" t="s">
        <v>1135</v>
      </c>
      <c r="X187">
        <v>2001</v>
      </c>
      <c r="Y187">
        <v>12</v>
      </c>
      <c r="AA187" t="s">
        <v>704</v>
      </c>
      <c r="AC187" t="s">
        <v>1178</v>
      </c>
      <c r="AD187" t="s">
        <v>1178</v>
      </c>
      <c r="AE187" t="s">
        <v>1275</v>
      </c>
      <c r="AK187" t="s">
        <v>706</v>
      </c>
      <c r="AL187" t="s">
        <v>686</v>
      </c>
      <c r="AM187" t="s">
        <v>687</v>
      </c>
      <c r="AN187" t="s">
        <v>687</v>
      </c>
      <c r="AR187" t="s">
        <v>921</v>
      </c>
      <c r="AS187" t="s">
        <v>922</v>
      </c>
      <c r="BE187">
        <v>40500.491099537037</v>
      </c>
      <c r="BF187" t="s">
        <v>923</v>
      </c>
    </row>
    <row r="188" spans="1:58" x14ac:dyDescent="0.2">
      <c r="A188">
        <v>58</v>
      </c>
      <c r="C188" t="s">
        <v>1280</v>
      </c>
      <c r="D188" t="s">
        <v>411</v>
      </c>
      <c r="E188" t="str">
        <f t="shared" si="2"/>
        <v>z0026456</v>
      </c>
      <c r="F188" t="s">
        <v>648</v>
      </c>
      <c r="G188" s="6" t="s">
        <v>1281</v>
      </c>
      <c r="H188" t="s">
        <v>1177</v>
      </c>
      <c r="I188" t="s">
        <v>1155</v>
      </c>
      <c r="J188" t="s">
        <v>1156</v>
      </c>
      <c r="K188">
        <v>11361</v>
      </c>
      <c r="L188" t="s">
        <v>680</v>
      </c>
      <c r="N188">
        <v>5759</v>
      </c>
      <c r="O188">
        <v>26456</v>
      </c>
      <c r="V188" t="s">
        <v>1138</v>
      </c>
      <c r="W188" s="1" t="s">
        <v>1135</v>
      </c>
      <c r="X188">
        <v>2001</v>
      </c>
      <c r="Y188">
        <v>12</v>
      </c>
      <c r="AA188" t="s">
        <v>704</v>
      </c>
      <c r="AC188" t="s">
        <v>1178</v>
      </c>
      <c r="AD188" t="s">
        <v>1178</v>
      </c>
      <c r="AE188" t="s">
        <v>1275</v>
      </c>
      <c r="AK188" t="s">
        <v>706</v>
      </c>
      <c r="AL188" t="s">
        <v>686</v>
      </c>
      <c r="AM188" t="s">
        <v>687</v>
      </c>
      <c r="AN188" t="s">
        <v>687</v>
      </c>
      <c r="AR188" t="s">
        <v>921</v>
      </c>
      <c r="AS188" t="s">
        <v>922</v>
      </c>
      <c r="BE188">
        <v>40500.491099537037</v>
      </c>
      <c r="BF188" t="s">
        <v>923</v>
      </c>
    </row>
    <row r="189" spans="1:58" x14ac:dyDescent="0.2">
      <c r="A189">
        <v>59</v>
      </c>
      <c r="C189" t="s">
        <v>1282</v>
      </c>
      <c r="D189" t="s">
        <v>412</v>
      </c>
      <c r="E189" t="str">
        <f t="shared" si="2"/>
        <v>z0026457</v>
      </c>
      <c r="F189" t="s">
        <v>648</v>
      </c>
      <c r="G189" s="6" t="s">
        <v>1283</v>
      </c>
      <c r="H189" t="s">
        <v>1177</v>
      </c>
      <c r="I189" t="s">
        <v>1155</v>
      </c>
      <c r="J189" t="s">
        <v>1156</v>
      </c>
      <c r="K189">
        <v>11362</v>
      </c>
      <c r="L189" t="s">
        <v>680</v>
      </c>
      <c r="N189">
        <v>5760</v>
      </c>
      <c r="O189">
        <v>26457</v>
      </c>
      <c r="V189" t="s">
        <v>966</v>
      </c>
      <c r="W189" s="1" t="s">
        <v>1135</v>
      </c>
      <c r="X189">
        <v>2001</v>
      </c>
      <c r="Y189">
        <v>12</v>
      </c>
      <c r="AA189" t="s">
        <v>704</v>
      </c>
      <c r="AC189" t="s">
        <v>1178</v>
      </c>
      <c r="AD189" t="s">
        <v>1178</v>
      </c>
      <c r="AE189" t="s">
        <v>1275</v>
      </c>
      <c r="AK189" t="s">
        <v>706</v>
      </c>
      <c r="AL189" t="s">
        <v>686</v>
      </c>
      <c r="AM189" t="s">
        <v>687</v>
      </c>
      <c r="AN189" t="s">
        <v>687</v>
      </c>
      <c r="AR189" t="s">
        <v>921</v>
      </c>
      <c r="AS189" t="s">
        <v>922</v>
      </c>
      <c r="BE189">
        <v>40500.491099537037</v>
      </c>
      <c r="BF189" t="s">
        <v>923</v>
      </c>
    </row>
    <row r="190" spans="1:58" x14ac:dyDescent="0.2">
      <c r="A190">
        <v>60</v>
      </c>
      <c r="C190" t="s">
        <v>1284</v>
      </c>
      <c r="D190" t="s">
        <v>414</v>
      </c>
      <c r="E190" t="str">
        <f t="shared" si="2"/>
        <v>z0026458</v>
      </c>
      <c r="F190" t="s">
        <v>648</v>
      </c>
      <c r="G190" s="6" t="s">
        <v>1285</v>
      </c>
      <c r="H190" t="s">
        <v>1177</v>
      </c>
      <c r="I190" t="s">
        <v>1155</v>
      </c>
      <c r="J190" t="s">
        <v>1156</v>
      </c>
      <c r="K190">
        <v>11363</v>
      </c>
      <c r="L190" t="s">
        <v>680</v>
      </c>
      <c r="N190">
        <v>5761</v>
      </c>
      <c r="O190">
        <v>26458</v>
      </c>
      <c r="V190" t="s">
        <v>1139</v>
      </c>
      <c r="W190" s="1" t="s">
        <v>1135</v>
      </c>
      <c r="X190">
        <v>2001</v>
      </c>
      <c r="Y190">
        <v>12</v>
      </c>
      <c r="AA190" t="s">
        <v>704</v>
      </c>
      <c r="AC190" t="s">
        <v>1178</v>
      </c>
      <c r="AD190" t="s">
        <v>1178</v>
      </c>
      <c r="AE190" t="s">
        <v>1275</v>
      </c>
      <c r="AK190" t="s">
        <v>706</v>
      </c>
      <c r="AL190" t="s">
        <v>686</v>
      </c>
      <c r="AM190" t="s">
        <v>687</v>
      </c>
      <c r="AN190" t="s">
        <v>687</v>
      </c>
      <c r="AR190" t="s">
        <v>921</v>
      </c>
      <c r="AS190" t="s">
        <v>922</v>
      </c>
      <c r="BE190">
        <v>40500.491099537037</v>
      </c>
      <c r="BF190" t="s">
        <v>923</v>
      </c>
    </row>
    <row r="191" spans="1:58" x14ac:dyDescent="0.2">
      <c r="A191">
        <v>201</v>
      </c>
      <c r="C191" t="s">
        <v>1582</v>
      </c>
      <c r="D191" t="s">
        <v>406</v>
      </c>
      <c r="E191" t="str">
        <f t="shared" si="2"/>
        <v>z0026450</v>
      </c>
      <c r="F191" t="s">
        <v>648</v>
      </c>
      <c r="G191" s="6" t="s">
        <v>1583</v>
      </c>
      <c r="H191" t="s">
        <v>1177</v>
      </c>
      <c r="I191" t="s">
        <v>1155</v>
      </c>
      <c r="J191" t="s">
        <v>1156</v>
      </c>
      <c r="K191">
        <v>11355</v>
      </c>
      <c r="L191" t="s">
        <v>680</v>
      </c>
      <c r="N191">
        <v>5753</v>
      </c>
      <c r="O191">
        <v>26450</v>
      </c>
      <c r="V191" t="s">
        <v>964</v>
      </c>
      <c r="W191" s="1" t="s">
        <v>1135</v>
      </c>
      <c r="X191">
        <v>2001</v>
      </c>
      <c r="Y191">
        <v>12</v>
      </c>
      <c r="AA191" t="s">
        <v>704</v>
      </c>
      <c r="AC191" t="s">
        <v>1178</v>
      </c>
      <c r="AD191" t="s">
        <v>1178</v>
      </c>
      <c r="AE191" t="s">
        <v>1275</v>
      </c>
      <c r="AK191" t="s">
        <v>706</v>
      </c>
      <c r="AL191" t="s">
        <v>686</v>
      </c>
      <c r="AM191" t="s">
        <v>687</v>
      </c>
      <c r="AN191" t="s">
        <v>687</v>
      </c>
      <c r="AR191" t="s">
        <v>921</v>
      </c>
      <c r="AS191" t="s">
        <v>922</v>
      </c>
      <c r="BE191">
        <v>40500.491099537037</v>
      </c>
      <c r="BF191" t="s">
        <v>923</v>
      </c>
    </row>
    <row r="192" spans="1:58" x14ac:dyDescent="0.2">
      <c r="A192">
        <v>202</v>
      </c>
      <c r="C192" t="s">
        <v>1584</v>
      </c>
      <c r="D192" t="s">
        <v>408</v>
      </c>
      <c r="E192" t="str">
        <f t="shared" si="2"/>
        <v>z0026451</v>
      </c>
      <c r="F192" t="s">
        <v>648</v>
      </c>
      <c r="G192" s="6" t="s">
        <v>1585</v>
      </c>
      <c r="H192" t="s">
        <v>1177</v>
      </c>
      <c r="I192" t="s">
        <v>1155</v>
      </c>
      <c r="J192" t="s">
        <v>1156</v>
      </c>
      <c r="K192">
        <v>11356</v>
      </c>
      <c r="L192" t="s">
        <v>680</v>
      </c>
      <c r="N192">
        <v>5754</v>
      </c>
      <c r="O192">
        <v>26451</v>
      </c>
      <c r="V192" t="s">
        <v>1136</v>
      </c>
      <c r="W192" s="1" t="s">
        <v>1135</v>
      </c>
      <c r="X192">
        <v>2001</v>
      </c>
      <c r="Y192">
        <v>12</v>
      </c>
      <c r="AA192" t="s">
        <v>704</v>
      </c>
      <c r="AC192" t="s">
        <v>1178</v>
      </c>
      <c r="AD192" t="s">
        <v>1178</v>
      </c>
      <c r="AE192" t="s">
        <v>1275</v>
      </c>
      <c r="AK192" t="s">
        <v>706</v>
      </c>
      <c r="AL192" t="s">
        <v>686</v>
      </c>
      <c r="AM192" t="s">
        <v>687</v>
      </c>
      <c r="AN192" t="s">
        <v>687</v>
      </c>
      <c r="AR192" t="s">
        <v>921</v>
      </c>
      <c r="AS192" t="s">
        <v>922</v>
      </c>
      <c r="BE192">
        <v>40500.491099537037</v>
      </c>
      <c r="BF192" t="s">
        <v>923</v>
      </c>
    </row>
    <row r="193" spans="1:59" x14ac:dyDescent="0.2">
      <c r="A193">
        <v>203</v>
      </c>
      <c r="C193" t="s">
        <v>1586</v>
      </c>
      <c r="D193" t="s">
        <v>410</v>
      </c>
      <c r="E193" t="str">
        <f t="shared" si="2"/>
        <v>z0026452</v>
      </c>
      <c r="F193" t="s">
        <v>648</v>
      </c>
      <c r="G193" s="6" t="s">
        <v>1587</v>
      </c>
      <c r="H193" t="s">
        <v>1177</v>
      </c>
      <c r="I193" t="s">
        <v>1155</v>
      </c>
      <c r="J193" t="s">
        <v>1156</v>
      </c>
      <c r="K193">
        <v>11357</v>
      </c>
      <c r="L193" t="s">
        <v>680</v>
      </c>
      <c r="N193">
        <v>5755</v>
      </c>
      <c r="O193">
        <v>26452</v>
      </c>
      <c r="V193" t="s">
        <v>1137</v>
      </c>
      <c r="W193" s="1" t="s">
        <v>1135</v>
      </c>
      <c r="X193">
        <v>2001</v>
      </c>
      <c r="Y193">
        <v>12</v>
      </c>
      <c r="AA193" t="s">
        <v>704</v>
      </c>
      <c r="AC193" t="s">
        <v>1178</v>
      </c>
      <c r="AD193" t="s">
        <v>1178</v>
      </c>
      <c r="AE193" t="s">
        <v>1275</v>
      </c>
      <c r="AK193" t="s">
        <v>706</v>
      </c>
      <c r="AL193" t="s">
        <v>686</v>
      </c>
      <c r="AM193" t="s">
        <v>687</v>
      </c>
      <c r="AN193" t="s">
        <v>687</v>
      </c>
      <c r="AR193" t="s">
        <v>921</v>
      </c>
      <c r="AS193" t="s">
        <v>922</v>
      </c>
      <c r="BE193">
        <v>40500.491099537037</v>
      </c>
      <c r="BF193" t="s">
        <v>923</v>
      </c>
    </row>
    <row r="194" spans="1:59" x14ac:dyDescent="0.2">
      <c r="A194">
        <v>204</v>
      </c>
      <c r="C194" t="s">
        <v>1588</v>
      </c>
      <c r="D194" t="s">
        <v>413</v>
      </c>
      <c r="E194" t="str">
        <f t="shared" ref="E194:E257" si="3">LEFT(D194, 8)</f>
        <v>z0026457</v>
      </c>
      <c r="F194" t="s">
        <v>648</v>
      </c>
      <c r="G194" s="6" t="s">
        <v>1589</v>
      </c>
      <c r="H194" t="s">
        <v>1177</v>
      </c>
      <c r="I194" t="s">
        <v>1155</v>
      </c>
      <c r="J194" t="s">
        <v>1156</v>
      </c>
      <c r="K194">
        <v>11362</v>
      </c>
      <c r="L194" t="s">
        <v>680</v>
      </c>
      <c r="N194">
        <v>5760</v>
      </c>
      <c r="O194">
        <v>26457</v>
      </c>
      <c r="V194" t="s">
        <v>966</v>
      </c>
      <c r="W194" s="1" t="s">
        <v>1135</v>
      </c>
      <c r="X194">
        <v>2001</v>
      </c>
      <c r="Y194">
        <v>12</v>
      </c>
      <c r="AA194" t="s">
        <v>704</v>
      </c>
      <c r="AC194" t="s">
        <v>1178</v>
      </c>
      <c r="AD194" t="s">
        <v>1178</v>
      </c>
      <c r="AE194" t="s">
        <v>1275</v>
      </c>
      <c r="AK194" t="s">
        <v>706</v>
      </c>
      <c r="AL194" t="s">
        <v>686</v>
      </c>
      <c r="AM194" t="s">
        <v>687</v>
      </c>
      <c r="AN194" t="s">
        <v>687</v>
      </c>
      <c r="AR194" t="s">
        <v>921</v>
      </c>
      <c r="AS194" t="s">
        <v>922</v>
      </c>
      <c r="BE194">
        <v>40500.491099537037</v>
      </c>
      <c r="BF194" t="s">
        <v>923</v>
      </c>
    </row>
    <row r="195" spans="1:59" x14ac:dyDescent="0.2">
      <c r="A195">
        <v>166</v>
      </c>
      <c r="C195" t="s">
        <v>1511</v>
      </c>
      <c r="D195" t="s">
        <v>621</v>
      </c>
      <c r="E195" t="str">
        <f t="shared" si="3"/>
        <v>z0216922</v>
      </c>
      <c r="F195" t="s">
        <v>648</v>
      </c>
      <c r="G195" s="6" t="s">
        <v>1512</v>
      </c>
      <c r="H195" t="s">
        <v>1154</v>
      </c>
      <c r="I195" t="s">
        <v>1302</v>
      </c>
      <c r="J195" t="s">
        <v>1303</v>
      </c>
      <c r="K195">
        <v>166435</v>
      </c>
      <c r="L195" t="s">
        <v>680</v>
      </c>
      <c r="N195">
        <v>257122</v>
      </c>
      <c r="O195">
        <v>216922</v>
      </c>
      <c r="V195" t="s">
        <v>1079</v>
      </c>
      <c r="W195" s="1">
        <v>44332</v>
      </c>
      <c r="X195">
        <v>2021</v>
      </c>
      <c r="Y195">
        <v>5</v>
      </c>
      <c r="Z195">
        <v>16</v>
      </c>
      <c r="AA195" t="s">
        <v>860</v>
      </c>
      <c r="AB195" t="s">
        <v>861</v>
      </c>
      <c r="AC195" t="s">
        <v>1513</v>
      </c>
      <c r="AD195" t="s">
        <v>1158</v>
      </c>
      <c r="AE195" t="s">
        <v>1476</v>
      </c>
      <c r="AF195" t="s">
        <v>889</v>
      </c>
      <c r="AK195" t="s">
        <v>685</v>
      </c>
      <c r="AL195" t="s">
        <v>686</v>
      </c>
      <c r="AN195" t="s">
        <v>687</v>
      </c>
      <c r="AQ195" t="s">
        <v>863</v>
      </c>
      <c r="AV195">
        <v>160</v>
      </c>
      <c r="BC195" t="s">
        <v>864</v>
      </c>
      <c r="BE195">
        <v>45355.499131944445</v>
      </c>
      <c r="BF195" t="s">
        <v>971</v>
      </c>
      <c r="BG195">
        <v>45355.499131944445</v>
      </c>
    </row>
    <row r="196" spans="1:59" x14ac:dyDescent="0.2">
      <c r="A196">
        <v>167</v>
      </c>
      <c r="C196" t="s">
        <v>1514</v>
      </c>
      <c r="D196" t="s">
        <v>622</v>
      </c>
      <c r="E196" t="str">
        <f t="shared" si="3"/>
        <v>z0216923</v>
      </c>
      <c r="F196" t="s">
        <v>648</v>
      </c>
      <c r="G196" s="6" t="s">
        <v>1515</v>
      </c>
      <c r="H196" t="s">
        <v>1154</v>
      </c>
      <c r="I196" t="s">
        <v>1302</v>
      </c>
      <c r="J196" t="s">
        <v>1303</v>
      </c>
      <c r="K196">
        <v>166436</v>
      </c>
      <c r="L196" t="s">
        <v>680</v>
      </c>
      <c r="N196">
        <v>257123</v>
      </c>
      <c r="O196">
        <v>216923</v>
      </c>
      <c r="V196" t="s">
        <v>1080</v>
      </c>
      <c r="W196" s="1">
        <v>44346</v>
      </c>
      <c r="X196">
        <v>2021</v>
      </c>
      <c r="Y196">
        <v>5</v>
      </c>
      <c r="Z196">
        <v>30</v>
      </c>
      <c r="AA196" t="s">
        <v>860</v>
      </c>
      <c r="AB196" t="s">
        <v>861</v>
      </c>
      <c r="AC196" t="s">
        <v>1513</v>
      </c>
      <c r="AD196" t="s">
        <v>1158</v>
      </c>
      <c r="AE196" t="s">
        <v>1476</v>
      </c>
      <c r="AF196" t="s">
        <v>889</v>
      </c>
      <c r="AK196" t="s">
        <v>685</v>
      </c>
      <c r="AL196" t="s">
        <v>686</v>
      </c>
      <c r="AN196" t="s">
        <v>687</v>
      </c>
      <c r="AQ196" t="s">
        <v>863</v>
      </c>
      <c r="AV196">
        <v>154</v>
      </c>
      <c r="BC196" t="s">
        <v>864</v>
      </c>
      <c r="BE196">
        <v>45355.499131944445</v>
      </c>
      <c r="BF196" t="s">
        <v>971</v>
      </c>
      <c r="BG196">
        <v>45355.499131944445</v>
      </c>
    </row>
    <row r="197" spans="1:59" x14ac:dyDescent="0.2">
      <c r="A197">
        <v>168</v>
      </c>
      <c r="C197" t="s">
        <v>1516</v>
      </c>
      <c r="D197" t="s">
        <v>623</v>
      </c>
      <c r="E197" t="str">
        <f t="shared" si="3"/>
        <v>z0216924</v>
      </c>
      <c r="F197" t="s">
        <v>648</v>
      </c>
      <c r="G197" s="6" t="s">
        <v>1517</v>
      </c>
      <c r="H197" t="s">
        <v>1154</v>
      </c>
      <c r="I197" t="s">
        <v>1302</v>
      </c>
      <c r="J197" t="s">
        <v>1303</v>
      </c>
      <c r="K197">
        <v>166437</v>
      </c>
      <c r="L197" t="s">
        <v>680</v>
      </c>
      <c r="N197">
        <v>257124</v>
      </c>
      <c r="O197">
        <v>216924</v>
      </c>
      <c r="V197" t="s">
        <v>1089</v>
      </c>
      <c r="W197" s="1">
        <v>44706</v>
      </c>
      <c r="X197">
        <v>2022</v>
      </c>
      <c r="Y197">
        <v>5</v>
      </c>
      <c r="Z197">
        <v>25</v>
      </c>
      <c r="AA197" t="s">
        <v>860</v>
      </c>
      <c r="AB197" t="s">
        <v>861</v>
      </c>
      <c r="AC197" t="s">
        <v>1513</v>
      </c>
      <c r="AD197" t="s">
        <v>1158</v>
      </c>
      <c r="AE197" t="s">
        <v>1476</v>
      </c>
      <c r="AF197" t="s">
        <v>889</v>
      </c>
      <c r="AK197" t="s">
        <v>685</v>
      </c>
      <c r="AL197" t="s">
        <v>686</v>
      </c>
      <c r="AN197" t="s">
        <v>687</v>
      </c>
      <c r="AQ197" t="s">
        <v>863</v>
      </c>
      <c r="AV197">
        <v>140</v>
      </c>
      <c r="BC197" t="s">
        <v>864</v>
      </c>
      <c r="BE197">
        <v>45355.499131944445</v>
      </c>
      <c r="BF197" t="s">
        <v>971</v>
      </c>
      <c r="BG197">
        <v>45355.499131944445</v>
      </c>
    </row>
    <row r="198" spans="1:59" x14ac:dyDescent="0.2">
      <c r="A198">
        <v>169</v>
      </c>
      <c r="C198" t="s">
        <v>1518</v>
      </c>
      <c r="D198" t="s">
        <v>624</v>
      </c>
      <c r="E198" t="str">
        <f t="shared" si="3"/>
        <v>z0216925</v>
      </c>
      <c r="F198" t="s">
        <v>648</v>
      </c>
      <c r="G198" s="6" t="s">
        <v>1519</v>
      </c>
      <c r="H198" t="s">
        <v>1154</v>
      </c>
      <c r="I198" t="s">
        <v>1302</v>
      </c>
      <c r="J198" t="s">
        <v>1303</v>
      </c>
      <c r="K198">
        <v>166438</v>
      </c>
      <c r="L198" t="s">
        <v>680</v>
      </c>
      <c r="N198">
        <v>257125</v>
      </c>
      <c r="O198">
        <v>216925</v>
      </c>
      <c r="V198" t="s">
        <v>1087</v>
      </c>
      <c r="W198" s="1">
        <v>44690</v>
      </c>
      <c r="X198">
        <v>2022</v>
      </c>
      <c r="Y198">
        <v>5</v>
      </c>
      <c r="Z198">
        <v>9</v>
      </c>
      <c r="AA198" t="s">
        <v>860</v>
      </c>
      <c r="AB198" t="s">
        <v>861</v>
      </c>
      <c r="AC198" t="s">
        <v>1513</v>
      </c>
      <c r="AD198" t="s">
        <v>1158</v>
      </c>
      <c r="AE198" t="s">
        <v>1476</v>
      </c>
      <c r="AF198" t="s">
        <v>889</v>
      </c>
      <c r="AK198" t="s">
        <v>685</v>
      </c>
      <c r="AL198" t="s">
        <v>686</v>
      </c>
      <c r="AN198" t="s">
        <v>687</v>
      </c>
      <c r="AQ198" t="s">
        <v>863</v>
      </c>
      <c r="AV198">
        <v>160</v>
      </c>
      <c r="BC198" t="s">
        <v>864</v>
      </c>
      <c r="BE198">
        <v>45355.499131944445</v>
      </c>
      <c r="BF198" t="s">
        <v>971</v>
      </c>
      <c r="BG198">
        <v>45355.499131944445</v>
      </c>
    </row>
    <row r="199" spans="1:59" x14ac:dyDescent="0.2">
      <c r="A199">
        <v>170</v>
      </c>
      <c r="C199" t="s">
        <v>1520</v>
      </c>
      <c r="D199" t="s">
        <v>625</v>
      </c>
      <c r="E199" t="str">
        <f t="shared" si="3"/>
        <v>z0216926</v>
      </c>
      <c r="F199" t="s">
        <v>648</v>
      </c>
      <c r="G199" s="6" t="s">
        <v>1521</v>
      </c>
      <c r="H199" t="s">
        <v>1154</v>
      </c>
      <c r="I199" t="s">
        <v>1302</v>
      </c>
      <c r="J199" t="s">
        <v>1303</v>
      </c>
      <c r="K199">
        <v>166439</v>
      </c>
      <c r="L199" t="s">
        <v>680</v>
      </c>
      <c r="N199">
        <v>257126</v>
      </c>
      <c r="O199">
        <v>216926</v>
      </c>
      <c r="V199" t="s">
        <v>1088</v>
      </c>
      <c r="W199" s="1">
        <v>44695</v>
      </c>
      <c r="X199">
        <v>2022</v>
      </c>
      <c r="Y199">
        <v>5</v>
      </c>
      <c r="Z199">
        <v>14</v>
      </c>
      <c r="AA199" t="s">
        <v>860</v>
      </c>
      <c r="AB199" t="s">
        <v>861</v>
      </c>
      <c r="AC199" t="s">
        <v>1513</v>
      </c>
      <c r="AD199" t="s">
        <v>1158</v>
      </c>
      <c r="AE199" t="s">
        <v>1476</v>
      </c>
      <c r="AF199" t="s">
        <v>889</v>
      </c>
      <c r="AK199" t="s">
        <v>685</v>
      </c>
      <c r="AL199" t="s">
        <v>686</v>
      </c>
      <c r="AN199" t="s">
        <v>687</v>
      </c>
      <c r="AQ199" t="s">
        <v>863</v>
      </c>
      <c r="AV199">
        <v>154</v>
      </c>
      <c r="BC199" t="s">
        <v>864</v>
      </c>
      <c r="BE199">
        <v>45355.499131944445</v>
      </c>
      <c r="BF199" t="s">
        <v>971</v>
      </c>
      <c r="BG199">
        <v>45355.499131944445</v>
      </c>
    </row>
    <row r="200" spans="1:59" x14ac:dyDescent="0.2">
      <c r="A200">
        <v>171</v>
      </c>
      <c r="C200" t="s">
        <v>1522</v>
      </c>
      <c r="D200" t="s">
        <v>626</v>
      </c>
      <c r="E200" t="str">
        <f t="shared" si="3"/>
        <v>z0216927</v>
      </c>
      <c r="F200" t="s">
        <v>648</v>
      </c>
      <c r="G200" s="6" t="s">
        <v>1523</v>
      </c>
      <c r="H200" t="s">
        <v>1154</v>
      </c>
      <c r="I200" t="s">
        <v>1302</v>
      </c>
      <c r="J200" t="s">
        <v>1303</v>
      </c>
      <c r="K200">
        <v>166440</v>
      </c>
      <c r="L200" t="s">
        <v>680</v>
      </c>
      <c r="N200">
        <v>257127</v>
      </c>
      <c r="O200">
        <v>216927</v>
      </c>
      <c r="V200" t="s">
        <v>1090</v>
      </c>
      <c r="W200" s="1">
        <v>44726</v>
      </c>
      <c r="X200">
        <v>2022</v>
      </c>
      <c r="Y200">
        <v>6</v>
      </c>
      <c r="Z200">
        <v>14</v>
      </c>
      <c r="AA200" t="s">
        <v>860</v>
      </c>
      <c r="AB200" t="s">
        <v>861</v>
      </c>
      <c r="AC200" t="s">
        <v>1513</v>
      </c>
      <c r="AD200" t="s">
        <v>1158</v>
      </c>
      <c r="AE200" t="s">
        <v>1476</v>
      </c>
      <c r="AF200" t="s">
        <v>889</v>
      </c>
      <c r="AK200" t="s">
        <v>685</v>
      </c>
      <c r="AL200" t="s">
        <v>686</v>
      </c>
      <c r="AN200" t="s">
        <v>687</v>
      </c>
      <c r="AQ200" t="s">
        <v>863</v>
      </c>
      <c r="AV200">
        <v>140</v>
      </c>
      <c r="BC200" t="s">
        <v>864</v>
      </c>
      <c r="BE200">
        <v>45355.499131944445</v>
      </c>
      <c r="BF200" t="s">
        <v>971</v>
      </c>
      <c r="BG200">
        <v>45355.499131944445</v>
      </c>
    </row>
    <row r="201" spans="1:59" x14ac:dyDescent="0.2">
      <c r="A201">
        <v>172</v>
      </c>
      <c r="C201" t="s">
        <v>1524</v>
      </c>
      <c r="D201" t="s">
        <v>627</v>
      </c>
      <c r="E201" t="str">
        <f t="shared" si="3"/>
        <v>z0216928</v>
      </c>
      <c r="F201" t="s">
        <v>648</v>
      </c>
      <c r="G201" s="6" t="s">
        <v>1525</v>
      </c>
      <c r="H201" t="s">
        <v>1154</v>
      </c>
      <c r="I201" t="s">
        <v>1302</v>
      </c>
      <c r="J201" t="s">
        <v>1303</v>
      </c>
      <c r="K201">
        <v>166441</v>
      </c>
      <c r="L201" t="s">
        <v>680</v>
      </c>
      <c r="N201">
        <v>257128</v>
      </c>
      <c r="O201">
        <v>216928</v>
      </c>
      <c r="V201" t="s">
        <v>1091</v>
      </c>
      <c r="W201" s="1">
        <v>44735</v>
      </c>
      <c r="X201">
        <v>2022</v>
      </c>
      <c r="Y201">
        <v>6</v>
      </c>
      <c r="Z201">
        <v>23</v>
      </c>
      <c r="AA201" t="s">
        <v>860</v>
      </c>
      <c r="AB201" t="s">
        <v>861</v>
      </c>
      <c r="AC201" t="s">
        <v>1513</v>
      </c>
      <c r="AD201" t="s">
        <v>1158</v>
      </c>
      <c r="AE201" t="s">
        <v>1476</v>
      </c>
      <c r="AF201" t="s">
        <v>889</v>
      </c>
      <c r="AK201" t="s">
        <v>685</v>
      </c>
      <c r="AL201" t="s">
        <v>686</v>
      </c>
      <c r="AN201" t="s">
        <v>687</v>
      </c>
      <c r="AQ201" t="s">
        <v>863</v>
      </c>
      <c r="AV201">
        <v>152</v>
      </c>
      <c r="BC201" t="s">
        <v>864</v>
      </c>
      <c r="BE201">
        <v>45355.499131944445</v>
      </c>
      <c r="BF201" t="s">
        <v>971</v>
      </c>
      <c r="BG201">
        <v>45355.499131944445</v>
      </c>
    </row>
    <row r="202" spans="1:59" x14ac:dyDescent="0.2">
      <c r="A202">
        <v>173</v>
      </c>
      <c r="C202" t="s">
        <v>1526</v>
      </c>
      <c r="D202" t="s">
        <v>628</v>
      </c>
      <c r="E202" t="str">
        <f t="shared" si="3"/>
        <v>z0216929</v>
      </c>
      <c r="F202" t="s">
        <v>648</v>
      </c>
      <c r="G202" s="6" t="s">
        <v>1527</v>
      </c>
      <c r="H202" t="s">
        <v>1154</v>
      </c>
      <c r="I202" t="s">
        <v>1302</v>
      </c>
      <c r="J202" t="s">
        <v>1303</v>
      </c>
      <c r="K202">
        <v>166442</v>
      </c>
      <c r="L202" t="s">
        <v>680</v>
      </c>
      <c r="N202">
        <v>257115</v>
      </c>
      <c r="O202">
        <v>216929</v>
      </c>
      <c r="V202" t="s">
        <v>887</v>
      </c>
      <c r="W202" s="1" t="s">
        <v>888</v>
      </c>
      <c r="AA202" t="s">
        <v>860</v>
      </c>
      <c r="AB202" t="s">
        <v>861</v>
      </c>
      <c r="AC202" t="s">
        <v>1513</v>
      </c>
      <c r="AD202" t="s">
        <v>1158</v>
      </c>
      <c r="AE202" t="s">
        <v>1476</v>
      </c>
      <c r="AF202" t="s">
        <v>889</v>
      </c>
      <c r="AK202" t="s">
        <v>685</v>
      </c>
      <c r="AL202" t="s">
        <v>686</v>
      </c>
      <c r="AN202" t="s">
        <v>687</v>
      </c>
      <c r="AQ202" t="s">
        <v>863</v>
      </c>
      <c r="BC202" t="s">
        <v>1130</v>
      </c>
      <c r="BE202">
        <v>45355.499131944445</v>
      </c>
      <c r="BF202" t="s">
        <v>971</v>
      </c>
      <c r="BG202">
        <v>45355.499131944445</v>
      </c>
    </row>
    <row r="203" spans="1:59" x14ac:dyDescent="0.2">
      <c r="A203">
        <v>174</v>
      </c>
      <c r="C203" t="s">
        <v>1528</v>
      </c>
      <c r="D203" t="s">
        <v>629</v>
      </c>
      <c r="E203" t="str">
        <f t="shared" si="3"/>
        <v>z0216930</v>
      </c>
      <c r="F203" t="s">
        <v>648</v>
      </c>
      <c r="G203" s="6" t="s">
        <v>1529</v>
      </c>
      <c r="H203" t="s">
        <v>1154</v>
      </c>
      <c r="I203" t="s">
        <v>1302</v>
      </c>
      <c r="J203" t="s">
        <v>1303</v>
      </c>
      <c r="K203">
        <v>166443</v>
      </c>
      <c r="L203" t="s">
        <v>680</v>
      </c>
      <c r="N203">
        <v>257129</v>
      </c>
      <c r="O203">
        <v>216930</v>
      </c>
      <c r="V203" t="s">
        <v>1097</v>
      </c>
      <c r="W203" s="1">
        <v>45034</v>
      </c>
      <c r="X203">
        <v>2023</v>
      </c>
      <c r="Y203">
        <v>4</v>
      </c>
      <c r="Z203">
        <v>18</v>
      </c>
      <c r="AA203" t="s">
        <v>860</v>
      </c>
      <c r="AB203" t="s">
        <v>861</v>
      </c>
      <c r="AC203" t="s">
        <v>1513</v>
      </c>
      <c r="AD203" t="s">
        <v>1158</v>
      </c>
      <c r="AE203" t="s">
        <v>1476</v>
      </c>
      <c r="AF203" t="s">
        <v>889</v>
      </c>
      <c r="AK203" t="s">
        <v>685</v>
      </c>
      <c r="AL203" t="s">
        <v>686</v>
      </c>
      <c r="AN203" t="s">
        <v>687</v>
      </c>
      <c r="AQ203" t="s">
        <v>863</v>
      </c>
      <c r="AV203">
        <v>143</v>
      </c>
      <c r="BC203" t="s">
        <v>864</v>
      </c>
      <c r="BE203">
        <v>45355.499131944445</v>
      </c>
      <c r="BF203" t="s">
        <v>971</v>
      </c>
      <c r="BG203">
        <v>45355.499131944445</v>
      </c>
    </row>
    <row r="204" spans="1:59" x14ac:dyDescent="0.2">
      <c r="B204" s="3" t="s">
        <v>886</v>
      </c>
      <c r="C204" s="3" t="s">
        <v>318</v>
      </c>
      <c r="D204" s="3" t="s">
        <v>642</v>
      </c>
      <c r="E204" t="str">
        <f t="shared" si="3"/>
        <v>z0216943</v>
      </c>
      <c r="F204" s="3" t="s">
        <v>648</v>
      </c>
      <c r="G204" s="3"/>
      <c r="H204" s="3"/>
      <c r="I204" s="3" t="s">
        <v>1638</v>
      </c>
      <c r="J204" s="3"/>
      <c r="K204" s="3"/>
      <c r="L204" s="3" t="s">
        <v>680</v>
      </c>
      <c r="M204" s="3" t="s">
        <v>681</v>
      </c>
      <c r="N204" s="4">
        <v>257115</v>
      </c>
      <c r="O204" s="4">
        <v>216943</v>
      </c>
      <c r="P204" s="4">
        <v>1</v>
      </c>
      <c r="Q204" s="3" t="s">
        <v>692</v>
      </c>
      <c r="R204" s="3"/>
      <c r="S204" s="4">
        <v>1</v>
      </c>
      <c r="T204" s="4">
        <v>0</v>
      </c>
      <c r="U204" s="3"/>
      <c r="V204" s="3" t="s">
        <v>887</v>
      </c>
      <c r="W204" s="3" t="s">
        <v>888</v>
      </c>
      <c r="X204" s="3"/>
      <c r="Y204" s="3"/>
      <c r="Z204" s="3"/>
      <c r="AA204" s="3" t="s">
        <v>860</v>
      </c>
      <c r="AB204" s="3" t="s">
        <v>861</v>
      </c>
      <c r="AC204" t="s">
        <v>1475</v>
      </c>
      <c r="AD204" t="s">
        <v>1158</v>
      </c>
      <c r="AE204" t="s">
        <v>1476</v>
      </c>
      <c r="AF204" s="3" t="s">
        <v>889</v>
      </c>
      <c r="AK204" s="3" t="s">
        <v>685</v>
      </c>
      <c r="AL204" s="3" t="s">
        <v>686</v>
      </c>
      <c r="AM204" s="3"/>
      <c r="AN204" s="3" t="s">
        <v>687</v>
      </c>
      <c r="AO204" s="3"/>
      <c r="AP204" s="3"/>
      <c r="AQ204" s="3" t="s">
        <v>863</v>
      </c>
      <c r="AR204" s="3"/>
      <c r="AS204" s="3"/>
      <c r="AT204" s="3"/>
      <c r="AU204" s="3"/>
      <c r="AV204" s="3"/>
      <c r="AW204" s="3"/>
      <c r="AX204" s="3"/>
      <c r="AY204" s="3"/>
      <c r="AZ204" s="3"/>
      <c r="BA204" s="3"/>
      <c r="BB204" s="3"/>
      <c r="BC204" s="3" t="s">
        <v>890</v>
      </c>
    </row>
    <row r="205" spans="1:59" x14ac:dyDescent="0.2">
      <c r="B205" s="3" t="s">
        <v>891</v>
      </c>
      <c r="C205" s="3" t="s">
        <v>319</v>
      </c>
      <c r="D205" s="3" t="s">
        <v>643</v>
      </c>
      <c r="E205" t="str">
        <f t="shared" si="3"/>
        <v>z0216944</v>
      </c>
      <c r="F205" s="3" t="s">
        <v>648</v>
      </c>
      <c r="G205" s="3"/>
      <c r="H205" s="3"/>
      <c r="I205" s="3" t="s">
        <v>1638</v>
      </c>
      <c r="J205" s="3"/>
      <c r="K205" s="3"/>
      <c r="L205" s="3" t="s">
        <v>680</v>
      </c>
      <c r="M205" s="3" t="s">
        <v>681</v>
      </c>
      <c r="N205" s="4">
        <v>257119</v>
      </c>
      <c r="O205" s="4">
        <v>216944</v>
      </c>
      <c r="P205" s="4">
        <v>1</v>
      </c>
      <c r="Q205" s="3" t="s">
        <v>690</v>
      </c>
      <c r="R205" s="3"/>
      <c r="S205" s="4">
        <v>1</v>
      </c>
      <c r="T205" s="4">
        <v>0</v>
      </c>
      <c r="U205" s="3"/>
      <c r="V205" s="3" t="s">
        <v>892</v>
      </c>
      <c r="W205" s="3" t="s">
        <v>888</v>
      </c>
      <c r="X205" s="3"/>
      <c r="Y205" s="3"/>
      <c r="Z205" s="3"/>
      <c r="AA205" s="3" t="s">
        <v>860</v>
      </c>
      <c r="AB205" s="3" t="s">
        <v>861</v>
      </c>
      <c r="AC205" t="s">
        <v>1475</v>
      </c>
      <c r="AD205" t="s">
        <v>1158</v>
      </c>
      <c r="AE205" t="s">
        <v>1476</v>
      </c>
      <c r="AF205" s="3" t="s">
        <v>889</v>
      </c>
      <c r="AK205" s="3" t="s">
        <v>685</v>
      </c>
      <c r="AL205" s="3" t="s">
        <v>686</v>
      </c>
      <c r="AM205" s="3"/>
      <c r="AN205" s="3" t="s">
        <v>687</v>
      </c>
      <c r="AO205" s="3"/>
      <c r="AP205" s="3"/>
      <c r="AQ205" s="3" t="s">
        <v>863</v>
      </c>
      <c r="AR205" s="3"/>
      <c r="AS205" s="3"/>
      <c r="AT205" s="3"/>
      <c r="AU205" s="3"/>
      <c r="AV205" s="3"/>
      <c r="AW205" s="3"/>
      <c r="AX205" s="3"/>
      <c r="AY205" s="3"/>
      <c r="AZ205" s="3"/>
      <c r="BA205" s="3"/>
      <c r="BB205" s="3"/>
      <c r="BC205" s="3" t="s">
        <v>893</v>
      </c>
    </row>
    <row r="206" spans="1:59" x14ac:dyDescent="0.2">
      <c r="B206" s="3" t="s">
        <v>894</v>
      </c>
      <c r="C206" s="3" t="s">
        <v>320</v>
      </c>
      <c r="D206" s="3" t="s">
        <v>644</v>
      </c>
      <c r="E206" t="str">
        <f t="shared" si="3"/>
        <v>z0216945</v>
      </c>
      <c r="F206" s="3" t="s">
        <v>648</v>
      </c>
      <c r="G206" s="3"/>
      <c r="H206" s="3"/>
      <c r="I206" s="3" t="s">
        <v>1638</v>
      </c>
      <c r="J206" s="3"/>
      <c r="K206" s="3"/>
      <c r="L206" s="3" t="s">
        <v>680</v>
      </c>
      <c r="M206" s="3" t="s">
        <v>681</v>
      </c>
      <c r="N206" s="4">
        <v>257142</v>
      </c>
      <c r="O206" s="4">
        <v>216945</v>
      </c>
      <c r="P206" s="4">
        <v>1</v>
      </c>
      <c r="Q206" s="3" t="s">
        <v>682</v>
      </c>
      <c r="R206" s="3"/>
      <c r="S206" s="4">
        <v>1</v>
      </c>
      <c r="T206" s="4">
        <v>0</v>
      </c>
      <c r="U206" s="3"/>
      <c r="V206" s="3" t="s">
        <v>895</v>
      </c>
      <c r="W206" s="5">
        <v>44898</v>
      </c>
      <c r="X206" s="4">
        <v>2022</v>
      </c>
      <c r="Y206" s="4">
        <v>12</v>
      </c>
      <c r="Z206" s="4">
        <v>3</v>
      </c>
      <c r="AA206" s="3" t="s">
        <v>860</v>
      </c>
      <c r="AB206" s="3" t="s">
        <v>861</v>
      </c>
      <c r="AC206" t="s">
        <v>1475</v>
      </c>
      <c r="AD206" t="s">
        <v>1158</v>
      </c>
      <c r="AE206" t="s">
        <v>1476</v>
      </c>
      <c r="AF206" s="3" t="s">
        <v>889</v>
      </c>
      <c r="AK206" s="3" t="s">
        <v>685</v>
      </c>
      <c r="AL206" s="3" t="s">
        <v>686</v>
      </c>
      <c r="AM206" s="3"/>
      <c r="AN206" s="3" t="s">
        <v>687</v>
      </c>
      <c r="AO206" s="3"/>
      <c r="AP206" s="3"/>
      <c r="AQ206" s="3" t="s">
        <v>863</v>
      </c>
      <c r="AR206" s="3"/>
      <c r="AS206" s="3"/>
      <c r="AT206" s="3"/>
      <c r="AU206" s="3"/>
      <c r="AV206" s="3"/>
      <c r="AW206" s="3"/>
      <c r="AX206" s="3"/>
      <c r="AY206" s="3"/>
      <c r="AZ206" s="3"/>
      <c r="BA206" s="3"/>
      <c r="BB206" s="3"/>
      <c r="BC206" s="3" t="s">
        <v>864</v>
      </c>
    </row>
    <row r="207" spans="1:59" x14ac:dyDescent="0.2">
      <c r="B207" s="3" t="s">
        <v>896</v>
      </c>
      <c r="C207" s="3" t="s">
        <v>321</v>
      </c>
      <c r="D207" s="3" t="s">
        <v>645</v>
      </c>
      <c r="E207" t="str">
        <f t="shared" si="3"/>
        <v>z0216946</v>
      </c>
      <c r="F207" s="3" t="s">
        <v>648</v>
      </c>
      <c r="G207" s="3"/>
      <c r="H207" s="3"/>
      <c r="I207" s="3" t="s">
        <v>1638</v>
      </c>
      <c r="J207" s="3"/>
      <c r="K207" s="3"/>
      <c r="L207" s="3" t="s">
        <v>680</v>
      </c>
      <c r="M207" s="3" t="s">
        <v>681</v>
      </c>
      <c r="N207" s="4">
        <v>257109</v>
      </c>
      <c r="O207" s="4">
        <v>216946</v>
      </c>
      <c r="P207" s="4">
        <v>1</v>
      </c>
      <c r="Q207" s="3" t="s">
        <v>692</v>
      </c>
      <c r="R207" s="3"/>
      <c r="S207" s="4">
        <v>1</v>
      </c>
      <c r="T207" s="4">
        <v>0</v>
      </c>
      <c r="U207" s="3"/>
      <c r="V207" s="3" t="s">
        <v>897</v>
      </c>
      <c r="W207" s="3" t="s">
        <v>888</v>
      </c>
      <c r="X207" s="3"/>
      <c r="Y207" s="3"/>
      <c r="Z207" s="3"/>
      <c r="AA207" s="3" t="s">
        <v>860</v>
      </c>
      <c r="AB207" s="3" t="s">
        <v>861</v>
      </c>
      <c r="AC207" t="s">
        <v>1475</v>
      </c>
      <c r="AD207" t="s">
        <v>1158</v>
      </c>
      <c r="AE207" t="s">
        <v>1476</v>
      </c>
      <c r="AF207" s="3" t="s">
        <v>889</v>
      </c>
      <c r="AK207" s="3" t="s">
        <v>685</v>
      </c>
      <c r="AL207" s="3" t="s">
        <v>686</v>
      </c>
      <c r="AM207" s="3"/>
      <c r="AN207" s="3" t="s">
        <v>687</v>
      </c>
      <c r="AO207" s="3"/>
      <c r="AP207" s="3"/>
      <c r="AQ207" s="3" t="s">
        <v>863</v>
      </c>
      <c r="AR207" s="3"/>
      <c r="AS207" s="3"/>
      <c r="AT207" s="3"/>
      <c r="AU207" s="3"/>
      <c r="AV207" s="3"/>
      <c r="AW207" s="3"/>
      <c r="AX207" s="3"/>
      <c r="AY207" s="3"/>
      <c r="AZ207" s="3"/>
      <c r="BA207" s="3"/>
      <c r="BB207" s="3"/>
      <c r="BC207" s="3" t="s">
        <v>898</v>
      </c>
    </row>
    <row r="208" spans="1:59" x14ac:dyDescent="0.2">
      <c r="B208" s="3" t="s">
        <v>899</v>
      </c>
      <c r="C208" s="3" t="s">
        <v>322</v>
      </c>
      <c r="D208" s="3" t="s">
        <v>646</v>
      </c>
      <c r="E208" t="str">
        <f t="shared" si="3"/>
        <v>z0216947</v>
      </c>
      <c r="F208" s="3" t="s">
        <v>648</v>
      </c>
      <c r="G208" s="3"/>
      <c r="H208" s="3"/>
      <c r="I208" s="3" t="s">
        <v>1638</v>
      </c>
      <c r="J208" s="3"/>
      <c r="K208" s="3"/>
      <c r="L208" s="3" t="s">
        <v>680</v>
      </c>
      <c r="M208" s="3" t="s">
        <v>681</v>
      </c>
      <c r="N208" s="4">
        <v>257143</v>
      </c>
      <c r="O208" s="4">
        <v>216947</v>
      </c>
      <c r="P208" s="4">
        <v>1</v>
      </c>
      <c r="Q208" s="3" t="s">
        <v>690</v>
      </c>
      <c r="R208" s="3"/>
      <c r="S208" s="4">
        <v>1</v>
      </c>
      <c r="T208" s="4">
        <v>0</v>
      </c>
      <c r="U208" s="3"/>
      <c r="V208" s="3" t="s">
        <v>900</v>
      </c>
      <c r="W208" s="5">
        <v>44911</v>
      </c>
      <c r="X208" s="4">
        <v>2022</v>
      </c>
      <c r="Y208" s="4">
        <v>12</v>
      </c>
      <c r="Z208" s="4">
        <v>16</v>
      </c>
      <c r="AA208" s="3" t="s">
        <v>860</v>
      </c>
      <c r="AB208" s="3" t="s">
        <v>861</v>
      </c>
      <c r="AC208" t="s">
        <v>1475</v>
      </c>
      <c r="AD208" t="s">
        <v>1158</v>
      </c>
      <c r="AE208" t="s">
        <v>1476</v>
      </c>
      <c r="AF208" s="3" t="s">
        <v>889</v>
      </c>
      <c r="AK208" s="3" t="s">
        <v>685</v>
      </c>
      <c r="AL208" s="3" t="s">
        <v>686</v>
      </c>
      <c r="AM208" s="3"/>
      <c r="AN208" s="3" t="s">
        <v>687</v>
      </c>
      <c r="AO208" s="3"/>
      <c r="AP208" s="3"/>
      <c r="AQ208" s="3" t="s">
        <v>863</v>
      </c>
      <c r="AR208" s="3"/>
      <c r="AS208" s="3"/>
      <c r="AT208" s="3"/>
      <c r="AU208" s="3"/>
      <c r="AV208" s="3"/>
      <c r="AW208" s="3"/>
      <c r="AX208" s="3"/>
      <c r="AY208" s="3"/>
      <c r="AZ208" s="3"/>
      <c r="BA208" s="3"/>
      <c r="BB208" s="3"/>
      <c r="BC208" s="3" t="s">
        <v>864</v>
      </c>
    </row>
    <row r="209" spans="1:59" x14ac:dyDescent="0.2">
      <c r="B209" s="3" t="s">
        <v>901</v>
      </c>
      <c r="C209" s="3" t="s">
        <v>323</v>
      </c>
      <c r="D209" s="3" t="s">
        <v>647</v>
      </c>
      <c r="E209" t="str">
        <f t="shared" si="3"/>
        <v>z0216948</v>
      </c>
      <c r="F209" s="3" t="s">
        <v>648</v>
      </c>
      <c r="G209" s="3"/>
      <c r="H209" s="3"/>
      <c r="I209" s="3" t="s">
        <v>1638</v>
      </c>
      <c r="J209" s="3"/>
      <c r="K209" s="3"/>
      <c r="L209" s="3" t="s">
        <v>680</v>
      </c>
      <c r="M209" s="3" t="s">
        <v>681</v>
      </c>
      <c r="N209" s="4">
        <v>257116</v>
      </c>
      <c r="O209" s="4">
        <v>216948</v>
      </c>
      <c r="P209" s="4">
        <v>1</v>
      </c>
      <c r="Q209" s="3" t="s">
        <v>690</v>
      </c>
      <c r="R209" s="3"/>
      <c r="S209" s="4">
        <v>1</v>
      </c>
      <c r="T209" s="4">
        <v>0</v>
      </c>
      <c r="U209" s="3"/>
      <c r="V209" s="3" t="s">
        <v>902</v>
      </c>
      <c r="W209" s="3" t="s">
        <v>903</v>
      </c>
      <c r="X209" s="3"/>
      <c r="Y209" s="4">
        <v>1</v>
      </c>
      <c r="Z209" s="3"/>
      <c r="AA209" s="3" t="s">
        <v>860</v>
      </c>
      <c r="AB209" s="3" t="s">
        <v>861</v>
      </c>
      <c r="AC209" t="s">
        <v>1475</v>
      </c>
      <c r="AD209" t="s">
        <v>1158</v>
      </c>
      <c r="AE209" t="s">
        <v>1476</v>
      </c>
      <c r="AF209" s="3" t="s">
        <v>889</v>
      </c>
      <c r="AK209" s="3" t="s">
        <v>685</v>
      </c>
      <c r="AL209" s="3" t="s">
        <v>686</v>
      </c>
      <c r="AM209" s="3"/>
      <c r="AN209" s="3" t="s">
        <v>687</v>
      </c>
      <c r="AO209" s="3"/>
      <c r="AP209" s="3"/>
      <c r="AQ209" s="3" t="s">
        <v>863</v>
      </c>
      <c r="AR209" s="3"/>
      <c r="AS209" s="3"/>
      <c r="AT209" s="3"/>
      <c r="AU209" s="3"/>
      <c r="AV209" s="3"/>
      <c r="AW209" s="3"/>
      <c r="AX209" s="3"/>
      <c r="AY209" s="3"/>
      <c r="AZ209" s="3"/>
      <c r="BA209" s="3"/>
      <c r="BB209" s="3"/>
      <c r="BC209" s="3" t="s">
        <v>904</v>
      </c>
    </row>
    <row r="210" spans="1:59" x14ac:dyDescent="0.2">
      <c r="A210">
        <v>148</v>
      </c>
      <c r="C210" t="s">
        <v>1473</v>
      </c>
      <c r="D210" t="s">
        <v>603</v>
      </c>
      <c r="E210" t="str">
        <f t="shared" si="3"/>
        <v>z0216904</v>
      </c>
      <c r="F210" t="s">
        <v>648</v>
      </c>
      <c r="G210" s="6" t="s">
        <v>1474</v>
      </c>
      <c r="H210" t="s">
        <v>1154</v>
      </c>
      <c r="I210" t="s">
        <v>1302</v>
      </c>
      <c r="J210" t="s">
        <v>1303</v>
      </c>
      <c r="K210">
        <v>166417</v>
      </c>
      <c r="L210" t="s">
        <v>680</v>
      </c>
      <c r="N210">
        <v>257104</v>
      </c>
      <c r="O210">
        <v>216904</v>
      </c>
      <c r="V210" t="s">
        <v>1065</v>
      </c>
      <c r="W210" s="1">
        <v>43866</v>
      </c>
      <c r="X210">
        <v>2020</v>
      </c>
      <c r="Y210">
        <v>2</v>
      </c>
      <c r="Z210">
        <v>5</v>
      </c>
      <c r="AA210" t="s">
        <v>860</v>
      </c>
      <c r="AB210" t="s">
        <v>861</v>
      </c>
      <c r="AC210" t="s">
        <v>1475</v>
      </c>
      <c r="AD210" t="s">
        <v>1158</v>
      </c>
      <c r="AE210" t="s">
        <v>1476</v>
      </c>
      <c r="AF210" t="s">
        <v>889</v>
      </c>
      <c r="AK210" t="s">
        <v>685</v>
      </c>
      <c r="AL210" t="s">
        <v>686</v>
      </c>
      <c r="AN210" t="s">
        <v>687</v>
      </c>
      <c r="AQ210" t="s">
        <v>863</v>
      </c>
      <c r="AV210">
        <v>167</v>
      </c>
      <c r="BC210" t="s">
        <v>864</v>
      </c>
      <c r="BE210">
        <v>45355.499131944445</v>
      </c>
      <c r="BF210" t="s">
        <v>971</v>
      </c>
      <c r="BG210">
        <v>45355.499131944445</v>
      </c>
    </row>
    <row r="211" spans="1:59" x14ac:dyDescent="0.2">
      <c r="A211">
        <v>149</v>
      </c>
      <c r="C211" t="s">
        <v>1477</v>
      </c>
      <c r="D211" t="s">
        <v>604</v>
      </c>
      <c r="E211" t="str">
        <f t="shared" si="3"/>
        <v>z0216905</v>
      </c>
      <c r="F211" t="s">
        <v>648</v>
      </c>
      <c r="G211" s="6" t="s">
        <v>1478</v>
      </c>
      <c r="H211" t="s">
        <v>1154</v>
      </c>
      <c r="I211" t="s">
        <v>1302</v>
      </c>
      <c r="J211" t="s">
        <v>1303</v>
      </c>
      <c r="K211">
        <v>166418</v>
      </c>
      <c r="L211" t="s">
        <v>680</v>
      </c>
      <c r="N211">
        <v>257105</v>
      </c>
      <c r="O211">
        <v>216905</v>
      </c>
      <c r="V211" t="s">
        <v>1066</v>
      </c>
      <c r="W211" s="1">
        <v>43872</v>
      </c>
      <c r="X211">
        <v>2020</v>
      </c>
      <c r="Y211">
        <v>2</v>
      </c>
      <c r="Z211">
        <v>11</v>
      </c>
      <c r="AA211" t="s">
        <v>860</v>
      </c>
      <c r="AB211" t="s">
        <v>861</v>
      </c>
      <c r="AC211" t="s">
        <v>1475</v>
      </c>
      <c r="AD211" t="s">
        <v>1158</v>
      </c>
      <c r="AE211" t="s">
        <v>1476</v>
      </c>
      <c r="AF211" t="s">
        <v>889</v>
      </c>
      <c r="AK211" t="s">
        <v>685</v>
      </c>
      <c r="AL211" t="s">
        <v>686</v>
      </c>
      <c r="AN211" t="s">
        <v>687</v>
      </c>
      <c r="AQ211" t="s">
        <v>863</v>
      </c>
      <c r="AV211">
        <v>168</v>
      </c>
      <c r="BC211" t="s">
        <v>864</v>
      </c>
      <c r="BE211">
        <v>45355.499131944445</v>
      </c>
      <c r="BF211" t="s">
        <v>971</v>
      </c>
      <c r="BG211">
        <v>45355.499131944445</v>
      </c>
    </row>
    <row r="212" spans="1:59" x14ac:dyDescent="0.2">
      <c r="A212">
        <v>150</v>
      </c>
      <c r="C212" t="s">
        <v>1479</v>
      </c>
      <c r="D212" t="s">
        <v>605</v>
      </c>
      <c r="E212" t="str">
        <f t="shared" si="3"/>
        <v>z0216906</v>
      </c>
      <c r="F212" t="s">
        <v>648</v>
      </c>
      <c r="G212" s="6" t="s">
        <v>1480</v>
      </c>
      <c r="H212" t="s">
        <v>1154</v>
      </c>
      <c r="I212" t="s">
        <v>1302</v>
      </c>
      <c r="J212" t="s">
        <v>1303</v>
      </c>
      <c r="K212">
        <v>166419</v>
      </c>
      <c r="L212" t="s">
        <v>680</v>
      </c>
      <c r="N212">
        <v>257106</v>
      </c>
      <c r="O212">
        <v>216906</v>
      </c>
      <c r="V212" t="s">
        <v>1067</v>
      </c>
      <c r="W212" s="1">
        <v>43874</v>
      </c>
      <c r="X212">
        <v>2020</v>
      </c>
      <c r="Y212">
        <v>2</v>
      </c>
      <c r="Z212">
        <v>13</v>
      </c>
      <c r="AA212" t="s">
        <v>860</v>
      </c>
      <c r="AB212" t="s">
        <v>861</v>
      </c>
      <c r="AC212" t="s">
        <v>1475</v>
      </c>
      <c r="AD212" t="s">
        <v>1158</v>
      </c>
      <c r="AE212" t="s">
        <v>1476</v>
      </c>
      <c r="AF212" t="s">
        <v>889</v>
      </c>
      <c r="AK212" t="s">
        <v>685</v>
      </c>
      <c r="AL212" t="s">
        <v>686</v>
      </c>
      <c r="AN212" t="s">
        <v>687</v>
      </c>
      <c r="AQ212" t="s">
        <v>863</v>
      </c>
      <c r="AV212">
        <v>155</v>
      </c>
      <c r="BC212" t="s">
        <v>864</v>
      </c>
      <c r="BE212">
        <v>45355.499131944445</v>
      </c>
      <c r="BF212" t="s">
        <v>971</v>
      </c>
      <c r="BG212">
        <v>45355.499131944445</v>
      </c>
    </row>
    <row r="213" spans="1:59" x14ac:dyDescent="0.2">
      <c r="A213">
        <v>151</v>
      </c>
      <c r="C213" t="s">
        <v>1481</v>
      </c>
      <c r="D213" t="s">
        <v>606</v>
      </c>
      <c r="E213" t="str">
        <f t="shared" si="3"/>
        <v>z0216907</v>
      </c>
      <c r="F213" t="s">
        <v>648</v>
      </c>
      <c r="G213" s="6" t="s">
        <v>1482</v>
      </c>
      <c r="H213" t="s">
        <v>1154</v>
      </c>
      <c r="I213" t="s">
        <v>1302</v>
      </c>
      <c r="J213" t="s">
        <v>1303</v>
      </c>
      <c r="K213">
        <v>166420</v>
      </c>
      <c r="L213" t="s">
        <v>680</v>
      </c>
      <c r="N213">
        <v>257107</v>
      </c>
      <c r="O213">
        <v>216907</v>
      </c>
      <c r="V213" t="s">
        <v>1069</v>
      </c>
      <c r="W213" s="1">
        <v>44131</v>
      </c>
      <c r="X213">
        <v>2020</v>
      </c>
      <c r="Y213">
        <v>10</v>
      </c>
      <c r="Z213">
        <v>27</v>
      </c>
      <c r="AA213" t="s">
        <v>860</v>
      </c>
      <c r="AB213" t="s">
        <v>861</v>
      </c>
      <c r="AC213" t="s">
        <v>1475</v>
      </c>
      <c r="AD213" t="s">
        <v>1158</v>
      </c>
      <c r="AE213" t="s">
        <v>1476</v>
      </c>
      <c r="AF213" t="s">
        <v>889</v>
      </c>
      <c r="AK213" t="s">
        <v>685</v>
      </c>
      <c r="AL213" t="s">
        <v>686</v>
      </c>
      <c r="AN213" t="s">
        <v>687</v>
      </c>
      <c r="AQ213" t="s">
        <v>863</v>
      </c>
      <c r="AV213">
        <v>163</v>
      </c>
      <c r="BC213" t="s">
        <v>864</v>
      </c>
      <c r="BE213">
        <v>45355.499131944445</v>
      </c>
      <c r="BF213" t="s">
        <v>971</v>
      </c>
      <c r="BG213">
        <v>45355.499131944445</v>
      </c>
    </row>
    <row r="214" spans="1:59" x14ac:dyDescent="0.2">
      <c r="A214">
        <v>152</v>
      </c>
      <c r="C214" t="s">
        <v>1483</v>
      </c>
      <c r="D214" t="s">
        <v>607</v>
      </c>
      <c r="E214" t="str">
        <f t="shared" si="3"/>
        <v>z0216908</v>
      </c>
      <c r="F214" t="s">
        <v>648</v>
      </c>
      <c r="G214" s="6" t="s">
        <v>1484</v>
      </c>
      <c r="H214" t="s">
        <v>1154</v>
      </c>
      <c r="I214" t="s">
        <v>1302</v>
      </c>
      <c r="J214" t="s">
        <v>1303</v>
      </c>
      <c r="K214">
        <v>166421</v>
      </c>
      <c r="L214" t="s">
        <v>680</v>
      </c>
      <c r="N214">
        <v>257108</v>
      </c>
      <c r="O214">
        <v>216908</v>
      </c>
      <c r="V214" t="s">
        <v>1068</v>
      </c>
      <c r="W214" s="1">
        <v>44120</v>
      </c>
      <c r="X214">
        <v>2020</v>
      </c>
      <c r="Y214">
        <v>10</v>
      </c>
      <c r="Z214">
        <v>16</v>
      </c>
      <c r="AA214" t="s">
        <v>860</v>
      </c>
      <c r="AB214" t="s">
        <v>861</v>
      </c>
      <c r="AC214" t="s">
        <v>1475</v>
      </c>
      <c r="AD214" t="s">
        <v>1158</v>
      </c>
      <c r="AE214" t="s">
        <v>1476</v>
      </c>
      <c r="AF214" t="s">
        <v>889</v>
      </c>
      <c r="AK214" t="s">
        <v>685</v>
      </c>
      <c r="AL214" t="s">
        <v>686</v>
      </c>
      <c r="AN214" t="s">
        <v>687</v>
      </c>
      <c r="AQ214" t="s">
        <v>863</v>
      </c>
      <c r="AV214">
        <v>155</v>
      </c>
      <c r="BC214" t="s">
        <v>864</v>
      </c>
      <c r="BE214">
        <v>45355.499131944445</v>
      </c>
      <c r="BF214" t="s">
        <v>971</v>
      </c>
      <c r="BG214">
        <v>45355.499131944445</v>
      </c>
    </row>
    <row r="215" spans="1:59" x14ac:dyDescent="0.2">
      <c r="A215">
        <v>153</v>
      </c>
      <c r="C215" t="s">
        <v>1485</v>
      </c>
      <c r="D215" t="s">
        <v>608</v>
      </c>
      <c r="E215" t="str">
        <f t="shared" si="3"/>
        <v>z0216909</v>
      </c>
      <c r="F215" t="s">
        <v>648</v>
      </c>
      <c r="G215" s="6" t="s">
        <v>1486</v>
      </c>
      <c r="H215" t="s">
        <v>1154</v>
      </c>
      <c r="I215" t="s">
        <v>1302</v>
      </c>
      <c r="J215" t="s">
        <v>1303</v>
      </c>
      <c r="K215">
        <v>166422</v>
      </c>
      <c r="L215" t="s">
        <v>680</v>
      </c>
      <c r="N215">
        <v>257109</v>
      </c>
      <c r="O215">
        <v>216909</v>
      </c>
      <c r="V215" t="s">
        <v>1128</v>
      </c>
      <c r="W215" s="1" t="s">
        <v>888</v>
      </c>
      <c r="AA215" t="s">
        <v>860</v>
      </c>
      <c r="AB215" t="s">
        <v>861</v>
      </c>
      <c r="AC215" t="s">
        <v>1475</v>
      </c>
      <c r="AD215" t="s">
        <v>1158</v>
      </c>
      <c r="AE215" t="s">
        <v>1476</v>
      </c>
      <c r="AF215" t="s">
        <v>889</v>
      </c>
      <c r="AK215" t="s">
        <v>685</v>
      </c>
      <c r="AL215" t="s">
        <v>686</v>
      </c>
      <c r="AN215" t="s">
        <v>687</v>
      </c>
      <c r="AQ215" t="s">
        <v>863</v>
      </c>
      <c r="AV215">
        <v>167</v>
      </c>
      <c r="BC215" t="s">
        <v>898</v>
      </c>
      <c r="BE215">
        <v>45355.499131944445</v>
      </c>
      <c r="BF215" t="s">
        <v>971</v>
      </c>
      <c r="BG215">
        <v>45355.499131944445</v>
      </c>
    </row>
    <row r="216" spans="1:59" x14ac:dyDescent="0.2">
      <c r="A216">
        <v>154</v>
      </c>
      <c r="C216" t="s">
        <v>1487</v>
      </c>
      <c r="D216" t="s">
        <v>609</v>
      </c>
      <c r="E216" t="str">
        <f t="shared" si="3"/>
        <v>z0216910</v>
      </c>
      <c r="F216" t="s">
        <v>648</v>
      </c>
      <c r="G216" s="6" t="s">
        <v>1488</v>
      </c>
      <c r="H216" t="s">
        <v>1154</v>
      </c>
      <c r="I216" t="s">
        <v>1302</v>
      </c>
      <c r="J216" t="s">
        <v>1303</v>
      </c>
      <c r="K216">
        <v>166423</v>
      </c>
      <c r="L216" t="s">
        <v>680</v>
      </c>
      <c r="N216">
        <v>257110</v>
      </c>
      <c r="O216">
        <v>216910</v>
      </c>
      <c r="V216" t="s">
        <v>1070</v>
      </c>
      <c r="W216" s="1">
        <v>44166</v>
      </c>
      <c r="X216">
        <v>2020</v>
      </c>
      <c r="Y216">
        <v>12</v>
      </c>
      <c r="Z216">
        <v>1</v>
      </c>
      <c r="AA216" t="s">
        <v>860</v>
      </c>
      <c r="AB216" t="s">
        <v>861</v>
      </c>
      <c r="AC216" t="s">
        <v>1475</v>
      </c>
      <c r="AD216" t="s">
        <v>1158</v>
      </c>
      <c r="AE216" t="s">
        <v>1476</v>
      </c>
      <c r="AF216" t="s">
        <v>889</v>
      </c>
      <c r="AK216" t="s">
        <v>685</v>
      </c>
      <c r="AL216" t="s">
        <v>686</v>
      </c>
      <c r="AN216" t="s">
        <v>687</v>
      </c>
      <c r="AQ216" t="s">
        <v>863</v>
      </c>
      <c r="AV216">
        <v>152</v>
      </c>
      <c r="BC216" t="s">
        <v>864</v>
      </c>
      <c r="BE216">
        <v>45355.499131944445</v>
      </c>
      <c r="BF216" t="s">
        <v>971</v>
      </c>
      <c r="BG216">
        <v>45355.499131944445</v>
      </c>
    </row>
    <row r="217" spans="1:59" x14ac:dyDescent="0.2">
      <c r="A217">
        <v>155</v>
      </c>
      <c r="C217" t="s">
        <v>1489</v>
      </c>
      <c r="D217" t="s">
        <v>610</v>
      </c>
      <c r="E217" t="str">
        <f t="shared" si="3"/>
        <v>z0216911</v>
      </c>
      <c r="F217" t="s">
        <v>648</v>
      </c>
      <c r="G217" s="6" t="s">
        <v>1490</v>
      </c>
      <c r="H217" t="s">
        <v>1154</v>
      </c>
      <c r="I217" t="s">
        <v>1302</v>
      </c>
      <c r="J217" t="s">
        <v>1303</v>
      </c>
      <c r="K217">
        <v>166424</v>
      </c>
      <c r="L217" t="s">
        <v>680</v>
      </c>
      <c r="N217">
        <v>257111</v>
      </c>
      <c r="O217">
        <v>216911</v>
      </c>
      <c r="V217" t="s">
        <v>1071</v>
      </c>
      <c r="W217" s="1">
        <v>44166</v>
      </c>
      <c r="X217">
        <v>2020</v>
      </c>
      <c r="Y217">
        <v>12</v>
      </c>
      <c r="Z217">
        <v>1</v>
      </c>
      <c r="AA217" t="s">
        <v>860</v>
      </c>
      <c r="AB217" t="s">
        <v>861</v>
      </c>
      <c r="AC217" t="s">
        <v>1475</v>
      </c>
      <c r="AD217" t="s">
        <v>1158</v>
      </c>
      <c r="AE217" t="s">
        <v>1476</v>
      </c>
      <c r="AF217" t="s">
        <v>889</v>
      </c>
      <c r="AK217" t="s">
        <v>685</v>
      </c>
      <c r="AL217" t="s">
        <v>686</v>
      </c>
      <c r="AN217" t="s">
        <v>687</v>
      </c>
      <c r="AQ217" t="s">
        <v>863</v>
      </c>
      <c r="AV217">
        <v>154</v>
      </c>
      <c r="BC217" t="s">
        <v>864</v>
      </c>
      <c r="BE217">
        <v>45355.499131944445</v>
      </c>
      <c r="BF217" t="s">
        <v>971</v>
      </c>
      <c r="BG217">
        <v>45355.499131944445</v>
      </c>
    </row>
    <row r="218" spans="1:59" x14ac:dyDescent="0.2">
      <c r="A218">
        <v>156</v>
      </c>
      <c r="C218" t="s">
        <v>1491</v>
      </c>
      <c r="D218" t="s">
        <v>611</v>
      </c>
      <c r="E218" t="str">
        <f t="shared" si="3"/>
        <v>z0216912</v>
      </c>
      <c r="F218" t="s">
        <v>648</v>
      </c>
      <c r="G218" s="6" t="s">
        <v>1492</v>
      </c>
      <c r="H218" t="s">
        <v>1154</v>
      </c>
      <c r="I218" t="s">
        <v>1302</v>
      </c>
      <c r="J218" t="s">
        <v>1303</v>
      </c>
      <c r="K218">
        <v>166425</v>
      </c>
      <c r="L218" t="s">
        <v>680</v>
      </c>
      <c r="N218">
        <v>257112</v>
      </c>
      <c r="O218">
        <v>216912</v>
      </c>
      <c r="V218" t="s">
        <v>1072</v>
      </c>
      <c r="W218" s="1">
        <v>44166</v>
      </c>
      <c r="X218">
        <v>2020</v>
      </c>
      <c r="Y218">
        <v>12</v>
      </c>
      <c r="Z218">
        <v>1</v>
      </c>
      <c r="AA218" t="s">
        <v>860</v>
      </c>
      <c r="AB218" t="s">
        <v>861</v>
      </c>
      <c r="AC218" t="s">
        <v>1475</v>
      </c>
      <c r="AD218" t="s">
        <v>1158</v>
      </c>
      <c r="AE218" t="s">
        <v>1476</v>
      </c>
      <c r="AF218" t="s">
        <v>889</v>
      </c>
      <c r="AK218" t="s">
        <v>685</v>
      </c>
      <c r="AL218" t="s">
        <v>686</v>
      </c>
      <c r="AN218" t="s">
        <v>687</v>
      </c>
      <c r="AQ218" t="s">
        <v>863</v>
      </c>
      <c r="AV218">
        <v>165</v>
      </c>
      <c r="BC218" t="s">
        <v>864</v>
      </c>
      <c r="BE218">
        <v>45355.499131944445</v>
      </c>
      <c r="BF218" t="s">
        <v>971</v>
      </c>
      <c r="BG218">
        <v>45355.499131944445</v>
      </c>
    </row>
    <row r="219" spans="1:59" x14ac:dyDescent="0.2">
      <c r="A219">
        <v>157</v>
      </c>
      <c r="C219" t="s">
        <v>1493</v>
      </c>
      <c r="D219" t="s">
        <v>612</v>
      </c>
      <c r="E219" t="str">
        <f t="shared" si="3"/>
        <v>z0216913</v>
      </c>
      <c r="F219" t="s">
        <v>648</v>
      </c>
      <c r="G219" s="6" t="s">
        <v>1494</v>
      </c>
      <c r="H219" t="s">
        <v>1154</v>
      </c>
      <c r="I219" t="s">
        <v>1302</v>
      </c>
      <c r="J219" t="s">
        <v>1303</v>
      </c>
      <c r="K219">
        <v>166426</v>
      </c>
      <c r="L219" t="s">
        <v>680</v>
      </c>
      <c r="N219">
        <v>257113</v>
      </c>
      <c r="O219">
        <v>216913</v>
      </c>
      <c r="V219" t="s">
        <v>1073</v>
      </c>
      <c r="W219" s="1">
        <v>44176</v>
      </c>
      <c r="X219">
        <v>2020</v>
      </c>
      <c r="Y219">
        <v>12</v>
      </c>
      <c r="Z219">
        <v>11</v>
      </c>
      <c r="AA219" t="s">
        <v>860</v>
      </c>
      <c r="AB219" t="s">
        <v>861</v>
      </c>
      <c r="AC219" t="s">
        <v>1475</v>
      </c>
      <c r="AD219" t="s">
        <v>1158</v>
      </c>
      <c r="AE219" t="s">
        <v>1476</v>
      </c>
      <c r="AF219" t="s">
        <v>889</v>
      </c>
      <c r="AK219" t="s">
        <v>685</v>
      </c>
      <c r="AL219" t="s">
        <v>686</v>
      </c>
      <c r="AN219" t="s">
        <v>687</v>
      </c>
      <c r="AQ219" t="s">
        <v>863</v>
      </c>
      <c r="AV219">
        <v>152</v>
      </c>
      <c r="BC219" t="s">
        <v>864</v>
      </c>
      <c r="BE219">
        <v>45355.499131944445</v>
      </c>
      <c r="BF219" t="s">
        <v>971</v>
      </c>
      <c r="BG219">
        <v>45355.499131944445</v>
      </c>
    </row>
    <row r="220" spans="1:59" x14ac:dyDescent="0.2">
      <c r="A220">
        <v>158</v>
      </c>
      <c r="C220" t="s">
        <v>1495</v>
      </c>
      <c r="D220" t="s">
        <v>613</v>
      </c>
      <c r="E220" t="str">
        <f t="shared" si="3"/>
        <v>z0216914</v>
      </c>
      <c r="F220" t="s">
        <v>648</v>
      </c>
      <c r="G220" s="6" t="s">
        <v>1496</v>
      </c>
      <c r="H220" t="s">
        <v>1154</v>
      </c>
      <c r="I220" t="s">
        <v>1302</v>
      </c>
      <c r="J220" t="s">
        <v>1303</v>
      </c>
      <c r="K220">
        <v>166427</v>
      </c>
      <c r="L220" t="s">
        <v>680</v>
      </c>
      <c r="N220">
        <v>257114</v>
      </c>
      <c r="O220">
        <v>216914</v>
      </c>
      <c r="V220" t="s">
        <v>1074</v>
      </c>
      <c r="W220" s="1">
        <v>44181</v>
      </c>
      <c r="X220">
        <v>2020</v>
      </c>
      <c r="Y220">
        <v>12</v>
      </c>
      <c r="Z220">
        <v>16</v>
      </c>
      <c r="AA220" t="s">
        <v>860</v>
      </c>
      <c r="AB220" t="s">
        <v>861</v>
      </c>
      <c r="AC220" t="s">
        <v>1475</v>
      </c>
      <c r="AD220" t="s">
        <v>1158</v>
      </c>
      <c r="AE220" t="s">
        <v>1476</v>
      </c>
      <c r="AF220" t="s">
        <v>889</v>
      </c>
      <c r="AK220" t="s">
        <v>685</v>
      </c>
      <c r="AL220" t="s">
        <v>686</v>
      </c>
      <c r="AN220" t="s">
        <v>687</v>
      </c>
      <c r="AQ220" t="s">
        <v>863</v>
      </c>
      <c r="AV220">
        <v>168</v>
      </c>
      <c r="BC220" t="s">
        <v>864</v>
      </c>
      <c r="BE220">
        <v>45355.499131944445</v>
      </c>
      <c r="BF220" t="s">
        <v>971</v>
      </c>
      <c r="BG220">
        <v>45355.499131944445</v>
      </c>
    </row>
    <row r="221" spans="1:59" x14ac:dyDescent="0.2">
      <c r="A221">
        <v>159</v>
      </c>
      <c r="C221" t="s">
        <v>1497</v>
      </c>
      <c r="D221" t="s">
        <v>614</v>
      </c>
      <c r="E221" t="str">
        <f t="shared" si="3"/>
        <v>z0216915</v>
      </c>
      <c r="F221" t="s">
        <v>648</v>
      </c>
      <c r="G221" s="6" t="s">
        <v>1498</v>
      </c>
      <c r="H221" t="s">
        <v>1154</v>
      </c>
      <c r="I221" t="s">
        <v>1302</v>
      </c>
      <c r="J221" t="s">
        <v>1303</v>
      </c>
      <c r="K221">
        <v>166428</v>
      </c>
      <c r="L221" t="s">
        <v>680</v>
      </c>
      <c r="N221">
        <v>257115</v>
      </c>
      <c r="O221">
        <v>216915</v>
      </c>
      <c r="V221" t="s">
        <v>1129</v>
      </c>
      <c r="W221" s="1" t="s">
        <v>888</v>
      </c>
      <c r="AA221" t="s">
        <v>860</v>
      </c>
      <c r="AB221" t="s">
        <v>861</v>
      </c>
      <c r="AC221" t="s">
        <v>1475</v>
      </c>
      <c r="AD221" t="s">
        <v>1158</v>
      </c>
      <c r="AE221" t="s">
        <v>1476</v>
      </c>
      <c r="AF221" t="s">
        <v>889</v>
      </c>
      <c r="AK221" t="s">
        <v>685</v>
      </c>
      <c r="AL221" t="s">
        <v>686</v>
      </c>
      <c r="AN221" t="s">
        <v>687</v>
      </c>
      <c r="AQ221" t="s">
        <v>863</v>
      </c>
      <c r="BC221" t="s">
        <v>1130</v>
      </c>
      <c r="BE221">
        <v>45355.499131944445</v>
      </c>
      <c r="BF221" t="s">
        <v>971</v>
      </c>
      <c r="BG221">
        <v>45355.499131944445</v>
      </c>
    </row>
    <row r="222" spans="1:59" x14ac:dyDescent="0.2">
      <c r="A222">
        <v>160</v>
      </c>
      <c r="C222" t="s">
        <v>1499</v>
      </c>
      <c r="D222" t="s">
        <v>615</v>
      </c>
      <c r="E222" t="str">
        <f t="shared" si="3"/>
        <v>z0216916</v>
      </c>
      <c r="F222" t="s">
        <v>648</v>
      </c>
      <c r="G222" s="6" t="s">
        <v>1500</v>
      </c>
      <c r="H222" t="s">
        <v>1154</v>
      </c>
      <c r="I222" t="s">
        <v>1302</v>
      </c>
      <c r="J222" t="s">
        <v>1303</v>
      </c>
      <c r="K222">
        <v>166429</v>
      </c>
      <c r="L222" t="s">
        <v>680</v>
      </c>
      <c r="N222">
        <v>257116</v>
      </c>
      <c r="O222">
        <v>216916</v>
      </c>
      <c r="V222" t="s">
        <v>1134</v>
      </c>
      <c r="W222" s="1" t="s">
        <v>903</v>
      </c>
      <c r="Y222">
        <v>1</v>
      </c>
      <c r="AA222" t="s">
        <v>860</v>
      </c>
      <c r="AB222" t="s">
        <v>861</v>
      </c>
      <c r="AC222" t="s">
        <v>1475</v>
      </c>
      <c r="AD222" t="s">
        <v>1158</v>
      </c>
      <c r="AE222" t="s">
        <v>1476</v>
      </c>
      <c r="AF222" t="s">
        <v>889</v>
      </c>
      <c r="AK222" t="s">
        <v>685</v>
      </c>
      <c r="AL222" t="s">
        <v>686</v>
      </c>
      <c r="AN222" t="s">
        <v>687</v>
      </c>
      <c r="AQ222" t="s">
        <v>863</v>
      </c>
      <c r="BC222" t="s">
        <v>904</v>
      </c>
      <c r="BE222">
        <v>45355.499131944445</v>
      </c>
      <c r="BF222" t="s">
        <v>971</v>
      </c>
      <c r="BG222">
        <v>45355.499131944445</v>
      </c>
    </row>
    <row r="223" spans="1:59" x14ac:dyDescent="0.2">
      <c r="A223">
        <v>161</v>
      </c>
      <c r="C223" t="s">
        <v>1501</v>
      </c>
      <c r="D223" t="s">
        <v>616</v>
      </c>
      <c r="E223" t="str">
        <f t="shared" si="3"/>
        <v>z0216917</v>
      </c>
      <c r="F223" t="s">
        <v>648</v>
      </c>
      <c r="G223" s="6" t="s">
        <v>1502</v>
      </c>
      <c r="H223" t="s">
        <v>1154</v>
      </c>
      <c r="I223" t="s">
        <v>1302</v>
      </c>
      <c r="J223" t="s">
        <v>1303</v>
      </c>
      <c r="K223">
        <v>166430</v>
      </c>
      <c r="L223" t="s">
        <v>680</v>
      </c>
      <c r="N223">
        <v>257117</v>
      </c>
      <c r="O223">
        <v>216917</v>
      </c>
      <c r="V223" t="s">
        <v>1075</v>
      </c>
      <c r="W223" s="1">
        <v>44200</v>
      </c>
      <c r="X223">
        <v>2021</v>
      </c>
      <c r="Y223">
        <v>1</v>
      </c>
      <c r="Z223">
        <v>4</v>
      </c>
      <c r="AA223" t="s">
        <v>860</v>
      </c>
      <c r="AB223" t="s">
        <v>861</v>
      </c>
      <c r="AC223" t="s">
        <v>1475</v>
      </c>
      <c r="AD223" t="s">
        <v>1158</v>
      </c>
      <c r="AE223" t="s">
        <v>1476</v>
      </c>
      <c r="AF223" t="s">
        <v>889</v>
      </c>
      <c r="AK223" t="s">
        <v>685</v>
      </c>
      <c r="AL223" t="s">
        <v>686</v>
      </c>
      <c r="AN223" t="s">
        <v>687</v>
      </c>
      <c r="AQ223" t="s">
        <v>863</v>
      </c>
      <c r="AV223">
        <v>152</v>
      </c>
      <c r="BC223" t="s">
        <v>864</v>
      </c>
      <c r="BE223">
        <v>45355.499131944445</v>
      </c>
      <c r="BF223" t="s">
        <v>971</v>
      </c>
      <c r="BG223">
        <v>45355.499131944445</v>
      </c>
    </row>
    <row r="224" spans="1:59" x14ac:dyDescent="0.2">
      <c r="A224">
        <v>162</v>
      </c>
      <c r="C224" t="s">
        <v>1503</v>
      </c>
      <c r="D224" t="s">
        <v>617</v>
      </c>
      <c r="E224" t="str">
        <f t="shared" si="3"/>
        <v>z0216918</v>
      </c>
      <c r="F224" t="s">
        <v>648</v>
      </c>
      <c r="G224" s="6" t="s">
        <v>1504</v>
      </c>
      <c r="H224" t="s">
        <v>1154</v>
      </c>
      <c r="I224" t="s">
        <v>1302</v>
      </c>
      <c r="J224" t="s">
        <v>1303</v>
      </c>
      <c r="K224">
        <v>166431</v>
      </c>
      <c r="L224" t="s">
        <v>680</v>
      </c>
      <c r="N224">
        <v>257118</v>
      </c>
      <c r="O224">
        <v>216918</v>
      </c>
      <c r="V224" t="s">
        <v>1076</v>
      </c>
      <c r="W224" s="1">
        <v>44217</v>
      </c>
      <c r="X224">
        <v>2021</v>
      </c>
      <c r="Y224">
        <v>1</v>
      </c>
      <c r="Z224">
        <v>21</v>
      </c>
      <c r="AA224" t="s">
        <v>860</v>
      </c>
      <c r="AB224" t="s">
        <v>861</v>
      </c>
      <c r="AC224" t="s">
        <v>1475</v>
      </c>
      <c r="AD224" t="s">
        <v>1158</v>
      </c>
      <c r="AE224" t="s">
        <v>1476</v>
      </c>
      <c r="AF224" t="s">
        <v>889</v>
      </c>
      <c r="AK224" t="s">
        <v>685</v>
      </c>
      <c r="AL224" t="s">
        <v>686</v>
      </c>
      <c r="AN224" t="s">
        <v>687</v>
      </c>
      <c r="AQ224" t="s">
        <v>863</v>
      </c>
      <c r="AV224">
        <v>159</v>
      </c>
      <c r="BC224" t="s">
        <v>864</v>
      </c>
      <c r="BE224">
        <v>45355.499131944445</v>
      </c>
      <c r="BF224" t="s">
        <v>971</v>
      </c>
      <c r="BG224">
        <v>45355.499131944445</v>
      </c>
    </row>
    <row r="225" spans="1:59" x14ac:dyDescent="0.2">
      <c r="A225">
        <v>163</v>
      </c>
      <c r="C225" t="s">
        <v>1505</v>
      </c>
      <c r="D225" t="s">
        <v>618</v>
      </c>
      <c r="E225" t="str">
        <f t="shared" si="3"/>
        <v>z0216919</v>
      </c>
      <c r="F225" t="s">
        <v>648</v>
      </c>
      <c r="G225" s="6" t="s">
        <v>1506</v>
      </c>
      <c r="H225" t="s">
        <v>1154</v>
      </c>
      <c r="I225" t="s">
        <v>1302</v>
      </c>
      <c r="J225" t="s">
        <v>1303</v>
      </c>
      <c r="K225">
        <v>166432</v>
      </c>
      <c r="L225" t="s">
        <v>680</v>
      </c>
      <c r="N225">
        <v>257119</v>
      </c>
      <c r="O225">
        <v>216919</v>
      </c>
      <c r="V225" t="s">
        <v>1131</v>
      </c>
      <c r="W225" s="1" t="s">
        <v>888</v>
      </c>
      <c r="AA225" t="s">
        <v>860</v>
      </c>
      <c r="AB225" t="s">
        <v>861</v>
      </c>
      <c r="AC225" t="s">
        <v>1475</v>
      </c>
      <c r="AD225" t="s">
        <v>1158</v>
      </c>
      <c r="AE225" t="s">
        <v>1476</v>
      </c>
      <c r="AF225" t="s">
        <v>889</v>
      </c>
      <c r="AK225" t="s">
        <v>685</v>
      </c>
      <c r="AL225" t="s">
        <v>686</v>
      </c>
      <c r="AN225" t="s">
        <v>687</v>
      </c>
      <c r="AQ225" t="s">
        <v>863</v>
      </c>
      <c r="AV225">
        <v>162</v>
      </c>
      <c r="BC225" t="s">
        <v>893</v>
      </c>
      <c r="BE225">
        <v>45355.499131944445</v>
      </c>
      <c r="BF225" t="s">
        <v>971</v>
      </c>
      <c r="BG225">
        <v>45355.499131944445</v>
      </c>
    </row>
    <row r="226" spans="1:59" x14ac:dyDescent="0.2">
      <c r="A226">
        <v>164</v>
      </c>
      <c r="C226" t="s">
        <v>1507</v>
      </c>
      <c r="D226" t="s">
        <v>619</v>
      </c>
      <c r="E226" t="str">
        <f t="shared" si="3"/>
        <v>z0216920</v>
      </c>
      <c r="F226" t="s">
        <v>648</v>
      </c>
      <c r="G226" s="6" t="s">
        <v>1508</v>
      </c>
      <c r="H226" t="s">
        <v>1154</v>
      </c>
      <c r="I226" t="s">
        <v>1302</v>
      </c>
      <c r="J226" t="s">
        <v>1303</v>
      </c>
      <c r="K226">
        <v>166433</v>
      </c>
      <c r="L226" t="s">
        <v>680</v>
      </c>
      <c r="N226">
        <v>257120</v>
      </c>
      <c r="O226">
        <v>216920</v>
      </c>
      <c r="V226" t="s">
        <v>1077</v>
      </c>
      <c r="W226" s="1">
        <v>44231</v>
      </c>
      <c r="X226">
        <v>2021</v>
      </c>
      <c r="Y226">
        <v>2</v>
      </c>
      <c r="Z226">
        <v>4</v>
      </c>
      <c r="AA226" t="s">
        <v>860</v>
      </c>
      <c r="AB226" t="s">
        <v>861</v>
      </c>
      <c r="AC226" t="s">
        <v>1475</v>
      </c>
      <c r="AD226" t="s">
        <v>1158</v>
      </c>
      <c r="AE226" t="s">
        <v>1476</v>
      </c>
      <c r="AF226" t="s">
        <v>889</v>
      </c>
      <c r="AK226" t="s">
        <v>685</v>
      </c>
      <c r="AL226" t="s">
        <v>686</v>
      </c>
      <c r="AN226" t="s">
        <v>687</v>
      </c>
      <c r="AQ226" t="s">
        <v>863</v>
      </c>
      <c r="AV226">
        <v>155</v>
      </c>
      <c r="BC226" t="s">
        <v>864</v>
      </c>
      <c r="BE226">
        <v>45355.499131944445</v>
      </c>
      <c r="BF226" t="s">
        <v>971</v>
      </c>
      <c r="BG226">
        <v>45355.499131944445</v>
      </c>
    </row>
    <row r="227" spans="1:59" x14ac:dyDescent="0.2">
      <c r="A227">
        <v>165</v>
      </c>
      <c r="C227" t="s">
        <v>1509</v>
      </c>
      <c r="D227" t="s">
        <v>620</v>
      </c>
      <c r="E227" t="str">
        <f t="shared" si="3"/>
        <v>z0216921</v>
      </c>
      <c r="F227" t="s">
        <v>648</v>
      </c>
      <c r="G227" s="6" t="s">
        <v>1510</v>
      </c>
      <c r="H227" t="s">
        <v>1154</v>
      </c>
      <c r="I227" t="s">
        <v>1302</v>
      </c>
      <c r="J227" t="s">
        <v>1303</v>
      </c>
      <c r="K227">
        <v>166434</v>
      </c>
      <c r="L227" t="s">
        <v>680</v>
      </c>
      <c r="N227">
        <v>257121</v>
      </c>
      <c r="O227">
        <v>216921</v>
      </c>
      <c r="V227" t="s">
        <v>1078</v>
      </c>
      <c r="W227" s="1">
        <v>44234</v>
      </c>
      <c r="X227">
        <v>2021</v>
      </c>
      <c r="Y227">
        <v>2</v>
      </c>
      <c r="Z227">
        <v>7</v>
      </c>
      <c r="AA227" t="s">
        <v>860</v>
      </c>
      <c r="AB227" t="s">
        <v>861</v>
      </c>
      <c r="AC227" t="s">
        <v>1475</v>
      </c>
      <c r="AD227" t="s">
        <v>1158</v>
      </c>
      <c r="AE227" t="s">
        <v>1476</v>
      </c>
      <c r="AF227" t="s">
        <v>889</v>
      </c>
      <c r="AK227" t="s">
        <v>685</v>
      </c>
      <c r="AL227" t="s">
        <v>686</v>
      </c>
      <c r="AN227" t="s">
        <v>687</v>
      </c>
      <c r="AQ227" t="s">
        <v>863</v>
      </c>
      <c r="AV227">
        <v>165</v>
      </c>
      <c r="BC227" t="s">
        <v>864</v>
      </c>
      <c r="BE227">
        <v>45355.499131944445</v>
      </c>
      <c r="BF227" t="s">
        <v>971</v>
      </c>
      <c r="BG227">
        <v>45355.499131944445</v>
      </c>
    </row>
    <row r="228" spans="1:59" x14ac:dyDescent="0.2">
      <c r="B228" s="3" t="s">
        <v>720</v>
      </c>
      <c r="C228" s="3" t="s">
        <v>121</v>
      </c>
      <c r="D228" s="3" t="s">
        <v>445</v>
      </c>
      <c r="E228" t="str">
        <f t="shared" si="3"/>
        <v>z0061452</v>
      </c>
      <c r="F228" s="3" t="s">
        <v>648</v>
      </c>
      <c r="G228" s="3"/>
      <c r="H228" s="3"/>
      <c r="I228" s="3" t="s">
        <v>1638</v>
      </c>
      <c r="J228" s="3"/>
      <c r="K228" s="3"/>
      <c r="L228" s="3" t="s">
        <v>680</v>
      </c>
      <c r="M228" s="3" t="s">
        <v>681</v>
      </c>
      <c r="N228" s="4">
        <v>23108</v>
      </c>
      <c r="O228" s="4">
        <v>61452</v>
      </c>
      <c r="P228" s="4">
        <v>2</v>
      </c>
      <c r="Q228" s="3" t="s">
        <v>690</v>
      </c>
      <c r="R228" s="4">
        <v>28</v>
      </c>
      <c r="S228" s="4">
        <v>2</v>
      </c>
      <c r="T228" s="4">
        <v>2</v>
      </c>
      <c r="U228" s="3"/>
      <c r="V228" s="3" t="s">
        <v>721</v>
      </c>
      <c r="W228" s="5">
        <v>39060</v>
      </c>
      <c r="X228" s="4">
        <v>2006</v>
      </c>
      <c r="Y228" s="4">
        <v>12</v>
      </c>
      <c r="Z228" s="4">
        <v>9</v>
      </c>
      <c r="AA228" s="3" t="s">
        <v>704</v>
      </c>
      <c r="AC228" t="s">
        <v>1157</v>
      </c>
      <c r="AD228" t="s">
        <v>1158</v>
      </c>
      <c r="AE228" t="s">
        <v>1182</v>
      </c>
      <c r="AF228" s="3" t="s">
        <v>722</v>
      </c>
      <c r="AJ228" s="3" t="s">
        <v>719</v>
      </c>
      <c r="AK228" s="3" t="s">
        <v>685</v>
      </c>
      <c r="AL228" s="3" t="s">
        <v>686</v>
      </c>
      <c r="AM228" s="3" t="s">
        <v>687</v>
      </c>
      <c r="AN228" s="3" t="s">
        <v>687</v>
      </c>
      <c r="AO228" s="3"/>
      <c r="AP228" s="3"/>
      <c r="AQ228" s="3"/>
      <c r="AR228" s="3"/>
      <c r="AS228" s="3"/>
      <c r="AT228" s="3"/>
      <c r="AU228" s="3"/>
      <c r="AV228" s="3"/>
      <c r="AW228" s="3"/>
      <c r="AX228" s="3"/>
      <c r="AY228" s="3"/>
      <c r="AZ228" s="3"/>
      <c r="BA228" s="3"/>
      <c r="BB228" s="3"/>
      <c r="BC228" s="3"/>
      <c r="BD228" s="3" t="s">
        <v>715</v>
      </c>
    </row>
    <row r="229" spans="1:59" x14ac:dyDescent="0.2">
      <c r="B229" s="3" t="s">
        <v>723</v>
      </c>
      <c r="C229" s="3" t="s">
        <v>122</v>
      </c>
      <c r="D229" s="3" t="s">
        <v>446</v>
      </c>
      <c r="E229" t="str">
        <f t="shared" si="3"/>
        <v>z0061452</v>
      </c>
      <c r="F229" s="3" t="s">
        <v>648</v>
      </c>
      <c r="G229" s="3"/>
      <c r="H229" s="3"/>
      <c r="I229" s="3" t="s">
        <v>1638</v>
      </c>
      <c r="J229" s="3"/>
      <c r="K229" s="3"/>
      <c r="L229" s="3" t="s">
        <v>680</v>
      </c>
      <c r="M229" s="3" t="s">
        <v>681</v>
      </c>
      <c r="N229" s="4">
        <v>23108</v>
      </c>
      <c r="O229" s="4">
        <v>61452</v>
      </c>
      <c r="P229" s="4">
        <v>2</v>
      </c>
      <c r="Q229" s="3" t="s">
        <v>690</v>
      </c>
      <c r="R229" s="4">
        <v>28</v>
      </c>
      <c r="S229" s="4">
        <v>2</v>
      </c>
      <c r="T229" s="4">
        <v>2</v>
      </c>
      <c r="U229" s="3"/>
      <c r="V229" s="3" t="s">
        <v>721</v>
      </c>
      <c r="W229" s="5">
        <v>39060</v>
      </c>
      <c r="X229" s="4">
        <v>2006</v>
      </c>
      <c r="Y229" s="4">
        <v>12</v>
      </c>
      <c r="Z229" s="4">
        <v>9</v>
      </c>
      <c r="AA229" s="3" t="s">
        <v>704</v>
      </c>
      <c r="AC229" t="s">
        <v>1157</v>
      </c>
      <c r="AD229" t="s">
        <v>1158</v>
      </c>
      <c r="AE229" t="s">
        <v>1182</v>
      </c>
      <c r="AF229" s="3" t="s">
        <v>722</v>
      </c>
      <c r="AJ229" s="3" t="s">
        <v>719</v>
      </c>
      <c r="AK229" s="3" t="s">
        <v>685</v>
      </c>
      <c r="AL229" s="3" t="s">
        <v>686</v>
      </c>
      <c r="AM229" s="3" t="s">
        <v>687</v>
      </c>
      <c r="AN229" s="3" t="s">
        <v>687</v>
      </c>
      <c r="AO229" s="3"/>
      <c r="AP229" s="3"/>
      <c r="AQ229" s="3"/>
      <c r="AR229" s="3"/>
      <c r="AS229" s="3"/>
      <c r="AT229" s="3"/>
      <c r="AU229" s="3"/>
      <c r="AV229" s="3"/>
      <c r="AW229" s="3"/>
      <c r="AX229" s="3"/>
      <c r="AY229" s="3"/>
      <c r="AZ229" s="3"/>
      <c r="BA229" s="3"/>
      <c r="BB229" s="3"/>
      <c r="BC229" s="3"/>
      <c r="BD229" s="3" t="s">
        <v>715</v>
      </c>
    </row>
    <row r="230" spans="1:59" x14ac:dyDescent="0.2">
      <c r="B230" s="3" t="s">
        <v>730</v>
      </c>
      <c r="C230" s="3" t="s">
        <v>126</v>
      </c>
      <c r="D230" s="3" t="s">
        <v>450</v>
      </c>
      <c r="E230" t="str">
        <f t="shared" si="3"/>
        <v>z0061459</v>
      </c>
      <c r="F230" s="3" t="s">
        <v>648</v>
      </c>
      <c r="G230" s="3"/>
      <c r="H230" s="3"/>
      <c r="I230" s="3" t="s">
        <v>1638</v>
      </c>
      <c r="J230" s="3"/>
      <c r="K230" s="3"/>
      <c r="L230" s="3" t="s">
        <v>680</v>
      </c>
      <c r="M230" s="3" t="s">
        <v>681</v>
      </c>
      <c r="N230" s="4">
        <v>23115</v>
      </c>
      <c r="O230" s="4">
        <v>61459</v>
      </c>
      <c r="P230" s="4">
        <v>4</v>
      </c>
      <c r="Q230" s="3" t="s">
        <v>690</v>
      </c>
      <c r="R230" s="4">
        <v>30</v>
      </c>
      <c r="S230" s="4">
        <v>1</v>
      </c>
      <c r="T230" s="4">
        <v>2</v>
      </c>
      <c r="U230" s="3"/>
      <c r="V230" s="3" t="s">
        <v>731</v>
      </c>
      <c r="W230" s="5">
        <v>39062</v>
      </c>
      <c r="X230" s="4">
        <v>2006</v>
      </c>
      <c r="Y230" s="4">
        <v>12</v>
      </c>
      <c r="Z230" s="4">
        <v>11</v>
      </c>
      <c r="AA230" s="3" t="s">
        <v>704</v>
      </c>
      <c r="AC230" t="s">
        <v>1157</v>
      </c>
      <c r="AD230" t="s">
        <v>1158</v>
      </c>
      <c r="AE230" t="s">
        <v>1182</v>
      </c>
      <c r="AF230" s="3" t="s">
        <v>722</v>
      </c>
      <c r="AJ230" s="3" t="s">
        <v>719</v>
      </c>
      <c r="AK230" s="3" t="s">
        <v>685</v>
      </c>
      <c r="AL230" s="3" t="s">
        <v>686</v>
      </c>
      <c r="AM230" s="3" t="s">
        <v>687</v>
      </c>
      <c r="AN230" s="3" t="s">
        <v>687</v>
      </c>
      <c r="AO230" s="3"/>
      <c r="AP230" s="3"/>
      <c r="AQ230" s="3"/>
      <c r="AR230" s="3"/>
      <c r="AS230" s="3"/>
      <c r="AT230" s="3"/>
      <c r="AU230" s="3"/>
      <c r="AV230" s="3"/>
      <c r="AW230" s="3"/>
      <c r="AX230" s="3"/>
      <c r="AY230" s="3"/>
      <c r="AZ230" s="3"/>
      <c r="BA230" s="3"/>
      <c r="BB230" s="3"/>
      <c r="BC230" s="3" t="s">
        <v>714</v>
      </c>
      <c r="BD230" s="3" t="s">
        <v>715</v>
      </c>
    </row>
    <row r="231" spans="1:59" x14ac:dyDescent="0.2">
      <c r="B231" s="3" t="s">
        <v>734</v>
      </c>
      <c r="C231" s="3" t="s">
        <v>128</v>
      </c>
      <c r="D231" s="3" t="s">
        <v>452</v>
      </c>
      <c r="E231" t="str">
        <f t="shared" si="3"/>
        <v>z0061462</v>
      </c>
      <c r="F231" s="3" t="s">
        <v>648</v>
      </c>
      <c r="G231" s="3"/>
      <c r="H231" s="3"/>
      <c r="I231" s="3" t="s">
        <v>1638</v>
      </c>
      <c r="J231" s="3"/>
      <c r="K231" s="3"/>
      <c r="L231" s="3" t="s">
        <v>680</v>
      </c>
      <c r="M231" s="3" t="s">
        <v>681</v>
      </c>
      <c r="N231" s="4">
        <v>23118</v>
      </c>
      <c r="O231" s="4">
        <v>61462</v>
      </c>
      <c r="P231" s="4">
        <v>3</v>
      </c>
      <c r="Q231" s="3" t="s">
        <v>690</v>
      </c>
      <c r="R231" s="4">
        <v>30</v>
      </c>
      <c r="S231" s="4">
        <v>1</v>
      </c>
      <c r="T231" s="4">
        <v>2</v>
      </c>
      <c r="U231" s="3"/>
      <c r="V231" s="3" t="s">
        <v>735</v>
      </c>
      <c r="W231" s="5">
        <v>39062</v>
      </c>
      <c r="X231" s="4">
        <v>2006</v>
      </c>
      <c r="Y231" s="4">
        <v>12</v>
      </c>
      <c r="Z231" s="4">
        <v>11</v>
      </c>
      <c r="AA231" s="3" t="s">
        <v>704</v>
      </c>
      <c r="AC231" t="s">
        <v>1157</v>
      </c>
      <c r="AD231" t="s">
        <v>1158</v>
      </c>
      <c r="AE231" t="s">
        <v>1182</v>
      </c>
      <c r="AF231" s="3" t="s">
        <v>722</v>
      </c>
      <c r="AJ231" s="3" t="s">
        <v>719</v>
      </c>
      <c r="AK231" s="3" t="s">
        <v>685</v>
      </c>
      <c r="AL231" s="3" t="s">
        <v>686</v>
      </c>
      <c r="AM231" s="3" t="s">
        <v>687</v>
      </c>
      <c r="AN231" s="3" t="s">
        <v>687</v>
      </c>
      <c r="AO231" s="3"/>
      <c r="AP231" s="3"/>
      <c r="AQ231" s="3"/>
      <c r="AR231" s="3"/>
      <c r="AS231" s="3"/>
      <c r="AT231" s="3"/>
      <c r="AU231" s="3"/>
      <c r="AV231" s="3"/>
      <c r="AW231" s="3"/>
      <c r="AX231" s="3"/>
      <c r="AY231" s="3"/>
      <c r="AZ231" s="3"/>
      <c r="BA231" s="3"/>
      <c r="BB231" s="3"/>
      <c r="BC231" s="3" t="s">
        <v>714</v>
      </c>
      <c r="BD231" s="3" t="s">
        <v>715</v>
      </c>
    </row>
    <row r="232" spans="1:59" x14ac:dyDescent="0.2">
      <c r="A232">
        <v>84</v>
      </c>
      <c r="C232" t="s">
        <v>1340</v>
      </c>
      <c r="D232" t="s">
        <v>449</v>
      </c>
      <c r="E232" t="str">
        <f t="shared" si="3"/>
        <v>z0061457</v>
      </c>
      <c r="F232" t="s">
        <v>648</v>
      </c>
      <c r="G232" s="6" t="s">
        <v>1341</v>
      </c>
      <c r="H232" t="s">
        <v>1154</v>
      </c>
      <c r="I232" t="s">
        <v>1155</v>
      </c>
      <c r="J232" t="s">
        <v>1162</v>
      </c>
      <c r="K232">
        <v>35030</v>
      </c>
      <c r="L232" t="s">
        <v>680</v>
      </c>
      <c r="N232">
        <v>23113</v>
      </c>
      <c r="O232">
        <v>61457</v>
      </c>
      <c r="V232" t="s">
        <v>982</v>
      </c>
      <c r="W232" s="1">
        <v>39061</v>
      </c>
      <c r="X232">
        <v>2006</v>
      </c>
      <c r="Y232">
        <v>12</v>
      </c>
      <c r="Z232">
        <v>10</v>
      </c>
      <c r="AA232" t="s">
        <v>704</v>
      </c>
      <c r="AC232" t="s">
        <v>1157</v>
      </c>
      <c r="AD232" t="s">
        <v>1158</v>
      </c>
      <c r="AE232" t="s">
        <v>1182</v>
      </c>
      <c r="AF232" t="s">
        <v>722</v>
      </c>
      <c r="AJ232" t="s">
        <v>719</v>
      </c>
      <c r="AK232" t="s">
        <v>685</v>
      </c>
      <c r="AL232" t="s">
        <v>686</v>
      </c>
      <c r="AM232" t="s">
        <v>687</v>
      </c>
      <c r="AN232" t="s">
        <v>687</v>
      </c>
      <c r="BC232" t="s">
        <v>714</v>
      </c>
      <c r="BD232" t="s">
        <v>715</v>
      </c>
      <c r="BE232">
        <v>40500.491099537037</v>
      </c>
      <c r="BF232" t="s">
        <v>923</v>
      </c>
    </row>
    <row r="233" spans="1:59" x14ac:dyDescent="0.2">
      <c r="B233" s="3" t="s">
        <v>679</v>
      </c>
      <c r="C233" s="3" t="s">
        <v>21</v>
      </c>
      <c r="D233" s="3" t="s">
        <v>345</v>
      </c>
      <c r="E233" t="str">
        <f t="shared" si="3"/>
        <v>z0012487</v>
      </c>
      <c r="F233" s="3" t="s">
        <v>648</v>
      </c>
      <c r="G233" s="3"/>
      <c r="H233" s="3"/>
      <c r="I233" s="3" t="s">
        <v>1638</v>
      </c>
      <c r="J233" s="3"/>
      <c r="K233" s="3"/>
      <c r="L233" s="3" t="s">
        <v>680</v>
      </c>
      <c r="M233" s="3" t="s">
        <v>681</v>
      </c>
      <c r="N233" s="4">
        <v>2280</v>
      </c>
      <c r="O233" s="4">
        <v>12487</v>
      </c>
      <c r="P233" s="4">
        <v>2</v>
      </c>
      <c r="Q233" s="3" t="s">
        <v>682</v>
      </c>
      <c r="R233" s="4">
        <v>15</v>
      </c>
      <c r="S233" s="4">
        <v>1</v>
      </c>
      <c r="T233" s="4">
        <v>4</v>
      </c>
      <c r="U233" s="3"/>
      <c r="V233" s="4">
        <v>5827</v>
      </c>
      <c r="W233" s="5">
        <v>36145</v>
      </c>
      <c r="X233" s="4">
        <v>1998</v>
      </c>
      <c r="Y233" s="4">
        <v>12</v>
      </c>
      <c r="Z233" s="4">
        <v>16</v>
      </c>
      <c r="AA233" s="3" t="s">
        <v>683</v>
      </c>
      <c r="AC233" t="s">
        <v>1157</v>
      </c>
      <c r="AD233" t="s">
        <v>1158</v>
      </c>
      <c r="AE233" t="s">
        <v>1182</v>
      </c>
      <c r="AF233" s="3" t="s">
        <v>684</v>
      </c>
      <c r="AK233" s="3" t="s">
        <v>685</v>
      </c>
      <c r="AL233" s="3" t="s">
        <v>686</v>
      </c>
      <c r="AM233" s="3" t="s">
        <v>687</v>
      </c>
      <c r="AN233" s="3" t="s">
        <v>687</v>
      </c>
      <c r="AO233" s="3"/>
      <c r="AP233" s="3"/>
      <c r="AQ233" s="3"/>
      <c r="AR233" s="3" t="s">
        <v>688</v>
      </c>
      <c r="AS233" s="3"/>
      <c r="AT233" s="3"/>
      <c r="AU233" s="3"/>
      <c r="AV233" s="3"/>
      <c r="AW233" s="3"/>
      <c r="AX233" s="3"/>
      <c r="AY233" s="3"/>
      <c r="AZ233" s="3"/>
      <c r="BA233" s="3"/>
      <c r="BB233" s="3"/>
      <c r="BC233" s="3"/>
      <c r="BD233" s="3"/>
    </row>
    <row r="234" spans="1:59" x14ac:dyDescent="0.2">
      <c r="B234" s="3" t="s">
        <v>689</v>
      </c>
      <c r="C234" s="3" t="s">
        <v>35</v>
      </c>
      <c r="D234" s="3" t="s">
        <v>359</v>
      </c>
      <c r="E234" t="str">
        <f t="shared" si="3"/>
        <v>z0012498</v>
      </c>
      <c r="F234" s="3" t="s">
        <v>648</v>
      </c>
      <c r="G234" s="3"/>
      <c r="H234" s="3"/>
      <c r="I234" s="3" t="s">
        <v>1638</v>
      </c>
      <c r="J234" s="3"/>
      <c r="K234" s="3"/>
      <c r="L234" s="3" t="s">
        <v>680</v>
      </c>
      <c r="M234" s="3" t="s">
        <v>681</v>
      </c>
      <c r="N234" s="4">
        <v>2291</v>
      </c>
      <c r="O234" s="4">
        <v>12498</v>
      </c>
      <c r="P234" s="4">
        <v>1</v>
      </c>
      <c r="Q234" s="3" t="s">
        <v>690</v>
      </c>
      <c r="R234" s="4">
        <v>22</v>
      </c>
      <c r="S234" s="4">
        <v>1</v>
      </c>
      <c r="T234" s="4">
        <v>4</v>
      </c>
      <c r="U234" s="3"/>
      <c r="V234" s="4">
        <v>5814</v>
      </c>
      <c r="W234" s="5">
        <v>36142</v>
      </c>
      <c r="X234" s="4">
        <v>1998</v>
      </c>
      <c r="Y234" s="4">
        <v>12</v>
      </c>
      <c r="Z234" s="4">
        <v>13</v>
      </c>
      <c r="AA234" s="3" t="s">
        <v>683</v>
      </c>
      <c r="AC234" t="s">
        <v>1157</v>
      </c>
      <c r="AD234" t="s">
        <v>1158</v>
      </c>
      <c r="AE234" t="s">
        <v>1182</v>
      </c>
      <c r="AF234" s="3" t="s">
        <v>684</v>
      </c>
      <c r="AK234" s="3" t="s">
        <v>685</v>
      </c>
      <c r="AL234" s="3" t="s">
        <v>686</v>
      </c>
      <c r="AM234" s="3" t="s">
        <v>687</v>
      </c>
      <c r="AN234" s="3" t="s">
        <v>687</v>
      </c>
      <c r="AO234" s="3"/>
      <c r="AP234" s="3"/>
      <c r="AQ234" s="3"/>
      <c r="AR234" s="3" t="s">
        <v>688</v>
      </c>
      <c r="AS234" s="3"/>
      <c r="AT234" s="3"/>
      <c r="AU234" s="3"/>
      <c r="AV234" s="3"/>
      <c r="AW234" s="3"/>
      <c r="AX234" s="3"/>
      <c r="AY234" s="3"/>
      <c r="AZ234" s="3"/>
      <c r="BA234" s="3"/>
      <c r="BB234" s="3"/>
      <c r="BC234" s="3"/>
      <c r="BD234" s="3"/>
    </row>
    <row r="235" spans="1:59" x14ac:dyDescent="0.2">
      <c r="B235" s="3" t="s">
        <v>697</v>
      </c>
      <c r="C235" s="3" t="s">
        <v>51</v>
      </c>
      <c r="D235" s="3" t="s">
        <v>375</v>
      </c>
      <c r="E235" t="str">
        <f t="shared" si="3"/>
        <v>z0012512</v>
      </c>
      <c r="F235" s="3" t="s">
        <v>648</v>
      </c>
      <c r="G235" s="3"/>
      <c r="H235" s="3"/>
      <c r="I235" s="3" t="s">
        <v>1638</v>
      </c>
      <c r="J235" s="3"/>
      <c r="K235" s="3"/>
      <c r="L235" s="3" t="s">
        <v>680</v>
      </c>
      <c r="M235" s="3" t="s">
        <v>681</v>
      </c>
      <c r="N235" s="4">
        <v>2305</v>
      </c>
      <c r="O235" s="4">
        <v>12512</v>
      </c>
      <c r="P235" s="4">
        <v>3</v>
      </c>
      <c r="Q235" s="3" t="s">
        <v>690</v>
      </c>
      <c r="R235" s="4">
        <v>20</v>
      </c>
      <c r="S235" s="4">
        <v>1</v>
      </c>
      <c r="T235" s="4">
        <v>4</v>
      </c>
      <c r="U235" s="3"/>
      <c r="V235" s="4">
        <v>5851</v>
      </c>
      <c r="W235" s="5">
        <v>36148</v>
      </c>
      <c r="X235" s="4">
        <v>1998</v>
      </c>
      <c r="Y235" s="4">
        <v>12</v>
      </c>
      <c r="Z235" s="4">
        <v>19</v>
      </c>
      <c r="AA235" s="3" t="s">
        <v>683</v>
      </c>
      <c r="AC235" t="s">
        <v>1157</v>
      </c>
      <c r="AD235" t="s">
        <v>1158</v>
      </c>
      <c r="AE235" t="s">
        <v>1182</v>
      </c>
      <c r="AF235" s="3" t="s">
        <v>684</v>
      </c>
      <c r="AK235" s="3" t="s">
        <v>685</v>
      </c>
      <c r="AL235" s="3" t="s">
        <v>686</v>
      </c>
      <c r="AM235" s="3" t="s">
        <v>687</v>
      </c>
      <c r="AN235" s="3" t="s">
        <v>687</v>
      </c>
      <c r="AO235" s="3"/>
      <c r="AP235" s="3"/>
      <c r="AQ235" s="3"/>
      <c r="AR235" s="3" t="s">
        <v>688</v>
      </c>
      <c r="AS235" s="3"/>
      <c r="AT235" s="3"/>
      <c r="AU235" s="3"/>
      <c r="AV235" s="3"/>
      <c r="AW235" s="3"/>
      <c r="AX235" s="3"/>
      <c r="AY235" s="3"/>
      <c r="AZ235" s="3"/>
      <c r="BA235" s="3"/>
      <c r="BB235" s="3"/>
      <c r="BC235" s="3"/>
      <c r="BD235" s="3"/>
    </row>
    <row r="236" spans="1:59" x14ac:dyDescent="0.2">
      <c r="B236" s="3" t="s">
        <v>698</v>
      </c>
      <c r="C236" s="3" t="s">
        <v>52</v>
      </c>
      <c r="D236" s="3" t="s">
        <v>376</v>
      </c>
      <c r="E236" t="str">
        <f t="shared" si="3"/>
        <v>z0012513</v>
      </c>
      <c r="F236" s="3" t="s">
        <v>648</v>
      </c>
      <c r="G236" s="3"/>
      <c r="H236" s="3"/>
      <c r="I236" s="3" t="s">
        <v>1638</v>
      </c>
      <c r="J236" s="3"/>
      <c r="K236" s="3"/>
      <c r="L236" s="3" t="s">
        <v>680</v>
      </c>
      <c r="M236" s="3" t="s">
        <v>681</v>
      </c>
      <c r="N236" s="4">
        <v>2306</v>
      </c>
      <c r="O236" s="4">
        <v>12513</v>
      </c>
      <c r="P236" s="4">
        <v>1</v>
      </c>
      <c r="Q236" s="3" t="s">
        <v>690</v>
      </c>
      <c r="R236" s="4">
        <v>17</v>
      </c>
      <c r="S236" s="4">
        <v>1</v>
      </c>
      <c r="T236" s="4">
        <v>4</v>
      </c>
      <c r="U236" s="3"/>
      <c r="V236" s="4">
        <v>5850</v>
      </c>
      <c r="W236" s="5">
        <v>36148</v>
      </c>
      <c r="X236" s="4">
        <v>1998</v>
      </c>
      <c r="Y236" s="4">
        <v>12</v>
      </c>
      <c r="Z236" s="4">
        <v>19</v>
      </c>
      <c r="AA236" s="3" t="s">
        <v>683</v>
      </c>
      <c r="AC236" t="s">
        <v>1157</v>
      </c>
      <c r="AD236" t="s">
        <v>1158</v>
      </c>
      <c r="AE236" t="s">
        <v>1182</v>
      </c>
      <c r="AF236" s="3" t="s">
        <v>684</v>
      </c>
      <c r="AK236" s="3" t="s">
        <v>685</v>
      </c>
      <c r="AL236" s="3" t="s">
        <v>686</v>
      </c>
      <c r="AM236" s="3" t="s">
        <v>687</v>
      </c>
      <c r="AN236" s="3" t="s">
        <v>687</v>
      </c>
      <c r="AO236" s="3"/>
      <c r="AP236" s="3"/>
      <c r="AQ236" s="3"/>
      <c r="AR236" s="3" t="s">
        <v>688</v>
      </c>
      <c r="AS236" s="3"/>
      <c r="AT236" s="3"/>
      <c r="AU236" s="3"/>
      <c r="AV236" s="3"/>
      <c r="AW236" s="3"/>
      <c r="AX236" s="3"/>
      <c r="AY236" s="3"/>
      <c r="AZ236" s="3"/>
      <c r="BA236" s="3"/>
      <c r="BB236" s="3"/>
      <c r="BC236" s="3"/>
      <c r="BD236" s="3"/>
    </row>
    <row r="237" spans="1:59" x14ac:dyDescent="0.2">
      <c r="B237" s="3" t="s">
        <v>699</v>
      </c>
      <c r="C237" s="3" t="s">
        <v>56</v>
      </c>
      <c r="D237" s="3" t="s">
        <v>380</v>
      </c>
      <c r="E237" t="str">
        <f t="shared" si="3"/>
        <v>z0012516</v>
      </c>
      <c r="F237" s="3" t="s">
        <v>648</v>
      </c>
      <c r="G237" s="3"/>
      <c r="H237" s="3"/>
      <c r="I237" s="3" t="s">
        <v>1638</v>
      </c>
      <c r="J237" s="3"/>
      <c r="K237" s="3"/>
      <c r="L237" s="3" t="s">
        <v>680</v>
      </c>
      <c r="M237" s="3" t="s">
        <v>681</v>
      </c>
      <c r="N237" s="4">
        <v>2309</v>
      </c>
      <c r="O237" s="4">
        <v>12516</v>
      </c>
      <c r="P237" s="4">
        <v>2</v>
      </c>
      <c r="Q237" s="3" t="s">
        <v>690</v>
      </c>
      <c r="R237" s="4">
        <v>18</v>
      </c>
      <c r="S237" s="4">
        <v>1</v>
      </c>
      <c r="T237" s="4">
        <v>4</v>
      </c>
      <c r="U237" s="3"/>
      <c r="V237" s="4">
        <v>5847</v>
      </c>
      <c r="W237" s="5">
        <v>36147</v>
      </c>
      <c r="X237" s="4">
        <v>1998</v>
      </c>
      <c r="Y237" s="4">
        <v>12</v>
      </c>
      <c r="Z237" s="4">
        <v>18</v>
      </c>
      <c r="AA237" s="3" t="s">
        <v>683</v>
      </c>
      <c r="AC237" t="s">
        <v>1157</v>
      </c>
      <c r="AD237" t="s">
        <v>1158</v>
      </c>
      <c r="AE237" t="s">
        <v>1182</v>
      </c>
      <c r="AF237" s="3" t="s">
        <v>684</v>
      </c>
      <c r="AK237" s="3" t="s">
        <v>685</v>
      </c>
      <c r="AL237" s="3" t="s">
        <v>686</v>
      </c>
      <c r="AM237" s="3" t="s">
        <v>687</v>
      </c>
      <c r="AN237" s="3" t="s">
        <v>687</v>
      </c>
      <c r="AO237" s="3"/>
      <c r="AP237" s="3"/>
      <c r="AQ237" s="3"/>
      <c r="AR237" s="3" t="s">
        <v>688</v>
      </c>
      <c r="AS237" s="3"/>
      <c r="AT237" s="3"/>
      <c r="AU237" s="3"/>
      <c r="AV237" s="3"/>
      <c r="AW237" s="3"/>
      <c r="AX237" s="3"/>
      <c r="AY237" s="3"/>
      <c r="AZ237" s="3"/>
      <c r="BA237" s="3"/>
      <c r="BB237" s="3"/>
      <c r="BC237" s="3" t="s">
        <v>700</v>
      </c>
    </row>
    <row r="238" spans="1:59" x14ac:dyDescent="0.2">
      <c r="B238" s="3" t="s">
        <v>701</v>
      </c>
      <c r="C238" s="3" t="s">
        <v>58</v>
      </c>
      <c r="D238" s="3" t="s">
        <v>382</v>
      </c>
      <c r="E238" t="str">
        <f t="shared" si="3"/>
        <v>z0012518</v>
      </c>
      <c r="F238" s="3" t="s">
        <v>648</v>
      </c>
      <c r="G238" s="3"/>
      <c r="H238" s="3"/>
      <c r="I238" s="3" t="s">
        <v>1638</v>
      </c>
      <c r="J238" s="3"/>
      <c r="K238" s="3"/>
      <c r="L238" s="3" t="s">
        <v>680</v>
      </c>
      <c r="M238" s="3" t="s">
        <v>681</v>
      </c>
      <c r="N238" s="4">
        <v>2311</v>
      </c>
      <c r="O238" s="4">
        <v>12518</v>
      </c>
      <c r="P238" s="4">
        <v>1</v>
      </c>
      <c r="Q238" s="3" t="s">
        <v>690</v>
      </c>
      <c r="R238" s="4">
        <v>21</v>
      </c>
      <c r="S238" s="4">
        <v>1</v>
      </c>
      <c r="T238" s="4">
        <v>4</v>
      </c>
      <c r="U238" s="3"/>
      <c r="V238" s="4">
        <v>5845</v>
      </c>
      <c r="W238" s="5">
        <v>36147</v>
      </c>
      <c r="X238" s="4">
        <v>1998</v>
      </c>
      <c r="Y238" s="4">
        <v>12</v>
      </c>
      <c r="Z238" s="4">
        <v>18</v>
      </c>
      <c r="AA238" s="3" t="s">
        <v>683</v>
      </c>
      <c r="AC238" t="s">
        <v>1157</v>
      </c>
      <c r="AD238" t="s">
        <v>1158</v>
      </c>
      <c r="AE238" t="s">
        <v>1182</v>
      </c>
      <c r="AF238" s="3" t="s">
        <v>684</v>
      </c>
      <c r="AK238" s="3" t="s">
        <v>685</v>
      </c>
      <c r="AL238" s="3" t="s">
        <v>686</v>
      </c>
      <c r="AM238" s="3" t="s">
        <v>687</v>
      </c>
      <c r="AN238" s="3" t="s">
        <v>687</v>
      </c>
      <c r="AO238" s="3"/>
      <c r="AP238" s="3"/>
      <c r="AQ238" s="3"/>
      <c r="AR238" s="3" t="s">
        <v>688</v>
      </c>
      <c r="AS238" s="3"/>
      <c r="AT238" s="3"/>
      <c r="AU238" s="3"/>
      <c r="AV238" s="3"/>
      <c r="AW238" s="3"/>
      <c r="AX238" s="3"/>
      <c r="AY238" s="3"/>
      <c r="AZ238" s="3"/>
      <c r="BA238" s="3"/>
      <c r="BB238" s="3"/>
      <c r="BC238" s="3"/>
      <c r="BD238" s="3"/>
    </row>
    <row r="239" spans="1:59" x14ac:dyDescent="0.2">
      <c r="A239">
        <v>10</v>
      </c>
      <c r="C239" t="s">
        <v>1180</v>
      </c>
      <c r="D239" t="s">
        <v>336</v>
      </c>
      <c r="E239" t="str">
        <f t="shared" si="3"/>
        <v>z0012480</v>
      </c>
      <c r="F239" t="s">
        <v>648</v>
      </c>
      <c r="G239" s="6" t="s">
        <v>1181</v>
      </c>
      <c r="H239" t="s">
        <v>1154</v>
      </c>
      <c r="I239" t="s">
        <v>1155</v>
      </c>
      <c r="J239" t="s">
        <v>1156</v>
      </c>
      <c r="K239">
        <v>2205</v>
      </c>
      <c r="L239" t="s">
        <v>680</v>
      </c>
      <c r="N239">
        <v>2273</v>
      </c>
      <c r="O239">
        <v>12480</v>
      </c>
      <c r="V239">
        <v>5821</v>
      </c>
      <c r="W239" s="1">
        <v>36143</v>
      </c>
      <c r="X239">
        <v>1998</v>
      </c>
      <c r="Y239">
        <v>12</v>
      </c>
      <c r="Z239">
        <v>14</v>
      </c>
      <c r="AA239" t="s">
        <v>683</v>
      </c>
      <c r="AC239" t="s">
        <v>1157</v>
      </c>
      <c r="AD239" t="s">
        <v>1158</v>
      </c>
      <c r="AE239" t="s">
        <v>1182</v>
      </c>
      <c r="AF239" t="s">
        <v>684</v>
      </c>
      <c r="AK239" t="s">
        <v>685</v>
      </c>
      <c r="AL239" t="s">
        <v>686</v>
      </c>
      <c r="AM239" t="s">
        <v>687</v>
      </c>
      <c r="AN239" t="s">
        <v>687</v>
      </c>
      <c r="AR239" t="s">
        <v>688</v>
      </c>
      <c r="AU239">
        <v>30</v>
      </c>
      <c r="BE239">
        <v>44490.418761574074</v>
      </c>
      <c r="BF239" t="s">
        <v>923</v>
      </c>
    </row>
    <row r="240" spans="1:59" x14ac:dyDescent="0.2">
      <c r="A240">
        <v>11</v>
      </c>
      <c r="C240" t="s">
        <v>1183</v>
      </c>
      <c r="D240" t="s">
        <v>338</v>
      </c>
      <c r="E240" t="str">
        <f t="shared" si="3"/>
        <v>z0012481</v>
      </c>
      <c r="F240" t="s">
        <v>648</v>
      </c>
      <c r="G240" s="6" t="s">
        <v>1184</v>
      </c>
      <c r="H240" t="s">
        <v>1154</v>
      </c>
      <c r="I240" t="s">
        <v>1155</v>
      </c>
      <c r="J240" t="s">
        <v>1156</v>
      </c>
      <c r="K240">
        <v>2206</v>
      </c>
      <c r="L240" t="s">
        <v>680</v>
      </c>
      <c r="N240">
        <v>2274</v>
      </c>
      <c r="O240">
        <v>12481</v>
      </c>
      <c r="V240">
        <v>5833</v>
      </c>
      <c r="W240" s="1">
        <v>36145</v>
      </c>
      <c r="X240">
        <v>1998</v>
      </c>
      <c r="Y240">
        <v>12</v>
      </c>
      <c r="Z240">
        <v>16</v>
      </c>
      <c r="AA240" t="s">
        <v>683</v>
      </c>
      <c r="AC240" t="s">
        <v>1157</v>
      </c>
      <c r="AD240" t="s">
        <v>1158</v>
      </c>
      <c r="AE240" t="s">
        <v>1182</v>
      </c>
      <c r="AF240" t="s">
        <v>684</v>
      </c>
      <c r="AK240" t="s">
        <v>685</v>
      </c>
      <c r="AL240" t="s">
        <v>686</v>
      </c>
      <c r="AM240" t="s">
        <v>687</v>
      </c>
      <c r="AN240" t="s">
        <v>687</v>
      </c>
      <c r="AR240" t="s">
        <v>688</v>
      </c>
      <c r="AU240">
        <v>30</v>
      </c>
      <c r="BE240">
        <v>44490.418761574074</v>
      </c>
      <c r="BF240" t="s">
        <v>923</v>
      </c>
    </row>
    <row r="241" spans="1:58" x14ac:dyDescent="0.2">
      <c r="A241">
        <v>12</v>
      </c>
      <c r="C241" t="s">
        <v>1185</v>
      </c>
      <c r="D241" t="s">
        <v>340</v>
      </c>
      <c r="E241" t="str">
        <f t="shared" si="3"/>
        <v>z0012482</v>
      </c>
      <c r="F241" t="s">
        <v>648</v>
      </c>
      <c r="G241" s="6" t="s">
        <v>1186</v>
      </c>
      <c r="H241" t="s">
        <v>1154</v>
      </c>
      <c r="I241" t="s">
        <v>1155</v>
      </c>
      <c r="J241" t="s">
        <v>1162</v>
      </c>
      <c r="K241">
        <v>2207</v>
      </c>
      <c r="L241" t="s">
        <v>680</v>
      </c>
      <c r="N241">
        <v>2275</v>
      </c>
      <c r="O241">
        <v>12482</v>
      </c>
      <c r="V241">
        <v>5832</v>
      </c>
      <c r="W241" s="1">
        <v>36145</v>
      </c>
      <c r="X241">
        <v>1998</v>
      </c>
      <c r="Y241">
        <v>12</v>
      </c>
      <c r="Z241">
        <v>16</v>
      </c>
      <c r="AA241" t="s">
        <v>683</v>
      </c>
      <c r="AC241" t="s">
        <v>1157</v>
      </c>
      <c r="AD241" t="s">
        <v>1158</v>
      </c>
      <c r="AE241" t="s">
        <v>1182</v>
      </c>
      <c r="AF241" t="s">
        <v>684</v>
      </c>
      <c r="AK241" t="s">
        <v>685</v>
      </c>
      <c r="AL241" t="s">
        <v>686</v>
      </c>
      <c r="AM241" t="s">
        <v>687</v>
      </c>
      <c r="AN241" t="s">
        <v>687</v>
      </c>
      <c r="AR241" t="s">
        <v>688</v>
      </c>
      <c r="AU241">
        <v>30</v>
      </c>
      <c r="BE241">
        <v>44490.418761574074</v>
      </c>
      <c r="BF241" t="s">
        <v>923</v>
      </c>
    </row>
    <row r="242" spans="1:58" x14ac:dyDescent="0.2">
      <c r="A242">
        <v>13</v>
      </c>
      <c r="C242" t="s">
        <v>1187</v>
      </c>
      <c r="D242" t="s">
        <v>341</v>
      </c>
      <c r="E242" t="str">
        <f t="shared" si="3"/>
        <v>z0012483</v>
      </c>
      <c r="F242" t="s">
        <v>648</v>
      </c>
      <c r="G242" s="6" t="s">
        <v>1188</v>
      </c>
      <c r="H242" t="s">
        <v>1154</v>
      </c>
      <c r="I242" t="s">
        <v>1155</v>
      </c>
      <c r="J242" t="s">
        <v>1162</v>
      </c>
      <c r="K242">
        <v>2208</v>
      </c>
      <c r="L242" t="s">
        <v>680</v>
      </c>
      <c r="N242">
        <v>2276</v>
      </c>
      <c r="O242">
        <v>12483</v>
      </c>
      <c r="V242">
        <v>2831</v>
      </c>
      <c r="W242" s="1">
        <v>36145</v>
      </c>
      <c r="X242">
        <v>1998</v>
      </c>
      <c r="Y242">
        <v>12</v>
      </c>
      <c r="Z242">
        <v>16</v>
      </c>
      <c r="AA242" t="s">
        <v>683</v>
      </c>
      <c r="AC242" t="s">
        <v>1157</v>
      </c>
      <c r="AD242" t="s">
        <v>1158</v>
      </c>
      <c r="AE242" t="s">
        <v>1182</v>
      </c>
      <c r="AF242" t="s">
        <v>684</v>
      </c>
      <c r="AK242" t="s">
        <v>685</v>
      </c>
      <c r="AL242" t="s">
        <v>686</v>
      </c>
      <c r="AM242" t="s">
        <v>687</v>
      </c>
      <c r="AN242" t="s">
        <v>687</v>
      </c>
      <c r="AR242" t="s">
        <v>688</v>
      </c>
      <c r="AU242">
        <v>30</v>
      </c>
      <c r="BE242">
        <v>44490.418761574074</v>
      </c>
      <c r="BF242" t="s">
        <v>923</v>
      </c>
    </row>
    <row r="243" spans="1:58" x14ac:dyDescent="0.2">
      <c r="A243">
        <v>14</v>
      </c>
      <c r="C243" t="s">
        <v>1189</v>
      </c>
      <c r="D243" t="s">
        <v>342</v>
      </c>
      <c r="E243" t="str">
        <f t="shared" si="3"/>
        <v>z0012484</v>
      </c>
      <c r="F243" t="s">
        <v>648</v>
      </c>
      <c r="G243" s="6" t="s">
        <v>1190</v>
      </c>
      <c r="H243" t="s">
        <v>1154</v>
      </c>
      <c r="I243" t="s">
        <v>1155</v>
      </c>
      <c r="J243" t="s">
        <v>1156</v>
      </c>
      <c r="K243">
        <v>2209</v>
      </c>
      <c r="L243" t="s">
        <v>680</v>
      </c>
      <c r="N243">
        <v>2277</v>
      </c>
      <c r="O243">
        <v>12484</v>
      </c>
      <c r="V243">
        <v>5830</v>
      </c>
      <c r="W243" s="1">
        <v>36145</v>
      </c>
      <c r="X243">
        <v>1998</v>
      </c>
      <c r="Y243">
        <v>12</v>
      </c>
      <c r="Z243">
        <v>16</v>
      </c>
      <c r="AA243" t="s">
        <v>683</v>
      </c>
      <c r="AC243" t="s">
        <v>1157</v>
      </c>
      <c r="AD243" t="s">
        <v>1158</v>
      </c>
      <c r="AE243" t="s">
        <v>1182</v>
      </c>
      <c r="AF243" t="s">
        <v>684</v>
      </c>
      <c r="AK243" t="s">
        <v>685</v>
      </c>
      <c r="AL243" t="s">
        <v>686</v>
      </c>
      <c r="AM243" t="s">
        <v>687</v>
      </c>
      <c r="AN243" t="s">
        <v>687</v>
      </c>
      <c r="AR243" t="s">
        <v>688</v>
      </c>
      <c r="AU243">
        <v>30</v>
      </c>
      <c r="BE243">
        <v>44490.418761574074</v>
      </c>
      <c r="BF243" t="s">
        <v>923</v>
      </c>
    </row>
    <row r="244" spans="1:58" x14ac:dyDescent="0.2">
      <c r="A244">
        <v>15</v>
      </c>
      <c r="C244" t="s">
        <v>1191</v>
      </c>
      <c r="D244" t="s">
        <v>343</v>
      </c>
      <c r="E244" t="str">
        <f t="shared" si="3"/>
        <v>z0012485</v>
      </c>
      <c r="F244" t="s">
        <v>648</v>
      </c>
      <c r="G244" s="6" t="s">
        <v>1192</v>
      </c>
      <c r="H244" t="s">
        <v>1154</v>
      </c>
      <c r="I244" t="s">
        <v>1155</v>
      </c>
      <c r="J244" t="s">
        <v>1156</v>
      </c>
      <c r="K244">
        <v>2210</v>
      </c>
      <c r="L244" t="s">
        <v>680</v>
      </c>
      <c r="N244">
        <v>2278</v>
      </c>
      <c r="O244">
        <v>12485</v>
      </c>
      <c r="V244">
        <v>5829</v>
      </c>
      <c r="W244" s="1">
        <v>36145</v>
      </c>
      <c r="X244">
        <v>1998</v>
      </c>
      <c r="Y244">
        <v>12</v>
      </c>
      <c r="Z244">
        <v>16</v>
      </c>
      <c r="AA244" t="s">
        <v>683</v>
      </c>
      <c r="AC244" t="s">
        <v>1157</v>
      </c>
      <c r="AD244" t="s">
        <v>1158</v>
      </c>
      <c r="AE244" t="s">
        <v>1182</v>
      </c>
      <c r="AF244" t="s">
        <v>684</v>
      </c>
      <c r="AK244" t="s">
        <v>685</v>
      </c>
      <c r="AL244" t="s">
        <v>686</v>
      </c>
      <c r="AM244" t="s">
        <v>687</v>
      </c>
      <c r="AN244" t="s">
        <v>687</v>
      </c>
      <c r="AR244" t="s">
        <v>688</v>
      </c>
      <c r="AU244">
        <v>30</v>
      </c>
      <c r="BE244">
        <v>44490.418761574074</v>
      </c>
      <c r="BF244" t="s">
        <v>923</v>
      </c>
    </row>
    <row r="245" spans="1:58" x14ac:dyDescent="0.2">
      <c r="A245">
        <v>16</v>
      </c>
      <c r="C245" t="s">
        <v>1193</v>
      </c>
      <c r="D245" t="s">
        <v>344</v>
      </c>
      <c r="E245" t="str">
        <f t="shared" si="3"/>
        <v>z0012486</v>
      </c>
      <c r="F245" t="s">
        <v>648</v>
      </c>
      <c r="G245" s="6" t="s">
        <v>1194</v>
      </c>
      <c r="H245" t="s">
        <v>1154</v>
      </c>
      <c r="I245" t="s">
        <v>1155</v>
      </c>
      <c r="J245" t="s">
        <v>1156</v>
      </c>
      <c r="K245">
        <v>2211</v>
      </c>
      <c r="L245" t="s">
        <v>680</v>
      </c>
      <c r="N245">
        <v>2279</v>
      </c>
      <c r="O245">
        <v>12486</v>
      </c>
      <c r="V245">
        <v>5828</v>
      </c>
      <c r="W245" s="1">
        <v>36145</v>
      </c>
      <c r="X245">
        <v>1998</v>
      </c>
      <c r="Y245">
        <v>12</v>
      </c>
      <c r="Z245">
        <v>16</v>
      </c>
      <c r="AA245" t="s">
        <v>683</v>
      </c>
      <c r="AC245" t="s">
        <v>1157</v>
      </c>
      <c r="AD245" t="s">
        <v>1158</v>
      </c>
      <c r="AE245" t="s">
        <v>1182</v>
      </c>
      <c r="AF245" t="s">
        <v>684</v>
      </c>
      <c r="AK245" t="s">
        <v>685</v>
      </c>
      <c r="AL245" t="s">
        <v>686</v>
      </c>
      <c r="AM245" t="s">
        <v>687</v>
      </c>
      <c r="AN245" t="s">
        <v>687</v>
      </c>
      <c r="AR245" t="s">
        <v>688</v>
      </c>
      <c r="AU245">
        <v>30</v>
      </c>
      <c r="BE245">
        <v>44490.418761574074</v>
      </c>
      <c r="BF245" t="s">
        <v>923</v>
      </c>
    </row>
    <row r="246" spans="1:58" x14ac:dyDescent="0.2">
      <c r="A246">
        <v>17</v>
      </c>
      <c r="C246" t="s">
        <v>1195</v>
      </c>
      <c r="D246" t="s">
        <v>346</v>
      </c>
      <c r="E246" t="str">
        <f t="shared" si="3"/>
        <v>z0012488</v>
      </c>
      <c r="F246" t="s">
        <v>648</v>
      </c>
      <c r="G246" s="6" t="s">
        <v>1196</v>
      </c>
      <c r="H246" t="s">
        <v>1154</v>
      </c>
      <c r="I246" t="s">
        <v>1155</v>
      </c>
      <c r="J246" t="s">
        <v>1156</v>
      </c>
      <c r="K246">
        <v>2213</v>
      </c>
      <c r="L246" t="s">
        <v>680</v>
      </c>
      <c r="N246">
        <v>2281</v>
      </c>
      <c r="O246">
        <v>12488</v>
      </c>
      <c r="V246">
        <v>5826</v>
      </c>
      <c r="W246" s="1">
        <v>36144</v>
      </c>
      <c r="X246">
        <v>1998</v>
      </c>
      <c r="Y246">
        <v>12</v>
      </c>
      <c r="Z246">
        <v>15</v>
      </c>
      <c r="AA246" t="s">
        <v>683</v>
      </c>
      <c r="AC246" t="s">
        <v>1157</v>
      </c>
      <c r="AD246" t="s">
        <v>1158</v>
      </c>
      <c r="AE246" t="s">
        <v>1182</v>
      </c>
      <c r="AF246" t="s">
        <v>684</v>
      </c>
      <c r="AK246" t="s">
        <v>685</v>
      </c>
      <c r="AL246" t="s">
        <v>686</v>
      </c>
      <c r="AM246" t="s">
        <v>687</v>
      </c>
      <c r="AN246" t="s">
        <v>687</v>
      </c>
      <c r="AR246" t="s">
        <v>688</v>
      </c>
      <c r="AU246">
        <v>30</v>
      </c>
      <c r="BE246">
        <v>44490.418761574074</v>
      </c>
      <c r="BF246" t="s">
        <v>923</v>
      </c>
    </row>
    <row r="247" spans="1:58" x14ac:dyDescent="0.2">
      <c r="A247">
        <v>18</v>
      </c>
      <c r="C247" t="s">
        <v>1197</v>
      </c>
      <c r="D247" t="s">
        <v>347</v>
      </c>
      <c r="E247" t="str">
        <f t="shared" si="3"/>
        <v>z0012489</v>
      </c>
      <c r="F247" t="s">
        <v>648</v>
      </c>
      <c r="G247" s="6" t="s">
        <v>1198</v>
      </c>
      <c r="H247" t="s">
        <v>1154</v>
      </c>
      <c r="I247" t="s">
        <v>1155</v>
      </c>
      <c r="J247" t="s">
        <v>1156</v>
      </c>
      <c r="K247">
        <v>2214</v>
      </c>
      <c r="L247" t="s">
        <v>680</v>
      </c>
      <c r="N247">
        <v>2282</v>
      </c>
      <c r="O247">
        <v>12489</v>
      </c>
      <c r="V247">
        <v>5825</v>
      </c>
      <c r="W247" s="1">
        <v>36144</v>
      </c>
      <c r="X247">
        <v>1998</v>
      </c>
      <c r="Y247">
        <v>12</v>
      </c>
      <c r="Z247">
        <v>15</v>
      </c>
      <c r="AA247" t="s">
        <v>683</v>
      </c>
      <c r="AC247" t="s">
        <v>1157</v>
      </c>
      <c r="AD247" t="s">
        <v>1158</v>
      </c>
      <c r="AE247" t="s">
        <v>1182</v>
      </c>
      <c r="AF247" t="s">
        <v>684</v>
      </c>
      <c r="AK247" t="s">
        <v>685</v>
      </c>
      <c r="AL247" t="s">
        <v>686</v>
      </c>
      <c r="AM247" t="s">
        <v>687</v>
      </c>
      <c r="AN247" t="s">
        <v>687</v>
      </c>
      <c r="AR247" t="s">
        <v>688</v>
      </c>
      <c r="AU247">
        <v>30</v>
      </c>
      <c r="BE247">
        <v>44490.418761574074</v>
      </c>
      <c r="BF247" t="s">
        <v>923</v>
      </c>
    </row>
    <row r="248" spans="1:58" x14ac:dyDescent="0.2">
      <c r="A248">
        <v>20</v>
      </c>
      <c r="C248" t="s">
        <v>1201</v>
      </c>
      <c r="D248" t="s">
        <v>350</v>
      </c>
      <c r="E248" t="str">
        <f t="shared" si="3"/>
        <v>z0012491</v>
      </c>
      <c r="F248" t="s">
        <v>648</v>
      </c>
      <c r="G248" s="6" t="s">
        <v>1202</v>
      </c>
      <c r="H248" t="s">
        <v>1154</v>
      </c>
      <c r="I248" t="s">
        <v>1155</v>
      </c>
      <c r="J248" t="s">
        <v>1162</v>
      </c>
      <c r="K248">
        <v>2216</v>
      </c>
      <c r="L248" t="s">
        <v>680</v>
      </c>
      <c r="N248">
        <v>2284</v>
      </c>
      <c r="O248">
        <v>12491</v>
      </c>
      <c r="V248">
        <v>5823</v>
      </c>
      <c r="W248" s="1">
        <v>36144</v>
      </c>
      <c r="X248">
        <v>1998</v>
      </c>
      <c r="Y248">
        <v>12</v>
      </c>
      <c r="Z248">
        <v>15</v>
      </c>
      <c r="AA248" t="s">
        <v>683</v>
      </c>
      <c r="AC248" t="s">
        <v>1157</v>
      </c>
      <c r="AD248" t="s">
        <v>1158</v>
      </c>
      <c r="AE248" t="s">
        <v>1182</v>
      </c>
      <c r="AF248" t="s">
        <v>684</v>
      </c>
      <c r="AK248" t="s">
        <v>685</v>
      </c>
      <c r="AL248" t="s">
        <v>686</v>
      </c>
      <c r="AM248" t="s">
        <v>687</v>
      </c>
      <c r="AN248" t="s">
        <v>687</v>
      </c>
      <c r="AR248" t="s">
        <v>688</v>
      </c>
      <c r="AU248">
        <v>30</v>
      </c>
      <c r="BE248">
        <v>44490.418761574074</v>
      </c>
      <c r="BF248" t="s">
        <v>923</v>
      </c>
    </row>
    <row r="249" spans="1:58" x14ac:dyDescent="0.2">
      <c r="A249">
        <v>21</v>
      </c>
      <c r="C249" t="s">
        <v>1203</v>
      </c>
      <c r="D249" t="s">
        <v>351</v>
      </c>
      <c r="E249" t="str">
        <f t="shared" si="3"/>
        <v>z0012492</v>
      </c>
      <c r="F249" t="s">
        <v>648</v>
      </c>
      <c r="G249" s="6" t="s">
        <v>1204</v>
      </c>
      <c r="H249" t="s">
        <v>1154</v>
      </c>
      <c r="I249" t="s">
        <v>1155</v>
      </c>
      <c r="J249" t="s">
        <v>1156</v>
      </c>
      <c r="K249">
        <v>2217</v>
      </c>
      <c r="L249" t="s">
        <v>680</v>
      </c>
      <c r="N249">
        <v>2285</v>
      </c>
      <c r="O249">
        <v>12492</v>
      </c>
      <c r="V249">
        <v>5836</v>
      </c>
      <c r="W249" s="1">
        <v>36145</v>
      </c>
      <c r="X249">
        <v>1998</v>
      </c>
      <c r="Y249">
        <v>12</v>
      </c>
      <c r="Z249">
        <v>16</v>
      </c>
      <c r="AA249" t="s">
        <v>683</v>
      </c>
      <c r="AC249" t="s">
        <v>1157</v>
      </c>
      <c r="AD249" t="s">
        <v>1158</v>
      </c>
      <c r="AE249" t="s">
        <v>1182</v>
      </c>
      <c r="AF249" t="s">
        <v>684</v>
      </c>
      <c r="AK249" t="s">
        <v>685</v>
      </c>
      <c r="AL249" t="s">
        <v>686</v>
      </c>
      <c r="AM249" t="s">
        <v>687</v>
      </c>
      <c r="AN249" t="s">
        <v>687</v>
      </c>
      <c r="AR249" t="s">
        <v>688</v>
      </c>
      <c r="AU249">
        <v>30</v>
      </c>
      <c r="BE249">
        <v>44490.418761574074</v>
      </c>
      <c r="BF249" t="s">
        <v>923</v>
      </c>
    </row>
    <row r="250" spans="1:58" x14ac:dyDescent="0.2">
      <c r="A250">
        <v>22</v>
      </c>
      <c r="C250" t="s">
        <v>1205</v>
      </c>
      <c r="D250" t="s">
        <v>353</v>
      </c>
      <c r="E250" t="str">
        <f t="shared" si="3"/>
        <v>z0012493</v>
      </c>
      <c r="F250" t="s">
        <v>648</v>
      </c>
      <c r="G250" s="6" t="s">
        <v>1206</v>
      </c>
      <c r="H250" t="s">
        <v>1154</v>
      </c>
      <c r="I250" t="s">
        <v>1155</v>
      </c>
      <c r="J250" t="s">
        <v>1156</v>
      </c>
      <c r="K250">
        <v>2218</v>
      </c>
      <c r="L250" t="s">
        <v>680</v>
      </c>
      <c r="N250">
        <v>2286</v>
      </c>
      <c r="O250">
        <v>12493</v>
      </c>
      <c r="V250">
        <v>5820</v>
      </c>
      <c r="W250" s="1">
        <v>36143</v>
      </c>
      <c r="X250">
        <v>1998</v>
      </c>
      <c r="Y250">
        <v>12</v>
      </c>
      <c r="Z250">
        <v>14</v>
      </c>
      <c r="AA250" t="s">
        <v>683</v>
      </c>
      <c r="AC250" t="s">
        <v>1157</v>
      </c>
      <c r="AD250" t="s">
        <v>1158</v>
      </c>
      <c r="AE250" t="s">
        <v>1182</v>
      </c>
      <c r="AF250" t="s">
        <v>684</v>
      </c>
      <c r="AK250" t="s">
        <v>685</v>
      </c>
      <c r="AL250" t="s">
        <v>686</v>
      </c>
      <c r="AM250" t="s">
        <v>687</v>
      </c>
      <c r="AN250" t="s">
        <v>687</v>
      </c>
      <c r="AR250" t="s">
        <v>688</v>
      </c>
      <c r="AU250">
        <v>30</v>
      </c>
      <c r="BE250">
        <v>44490.418761574074</v>
      </c>
      <c r="BF250" t="s">
        <v>923</v>
      </c>
    </row>
    <row r="251" spans="1:58" x14ac:dyDescent="0.2">
      <c r="A251">
        <v>23</v>
      </c>
      <c r="C251" t="s">
        <v>1207</v>
      </c>
      <c r="D251" t="s">
        <v>354</v>
      </c>
      <c r="E251" t="str">
        <f t="shared" si="3"/>
        <v>z0012494</v>
      </c>
      <c r="F251" t="s">
        <v>648</v>
      </c>
      <c r="G251" s="6" t="s">
        <v>1208</v>
      </c>
      <c r="H251" t="s">
        <v>1154</v>
      </c>
      <c r="I251" t="s">
        <v>1155</v>
      </c>
      <c r="J251" t="s">
        <v>1156</v>
      </c>
      <c r="K251">
        <v>2219</v>
      </c>
      <c r="L251" t="s">
        <v>680</v>
      </c>
      <c r="N251">
        <v>2287</v>
      </c>
      <c r="O251">
        <v>12494</v>
      </c>
      <c r="V251">
        <v>5819</v>
      </c>
      <c r="W251" s="1">
        <v>36143</v>
      </c>
      <c r="X251">
        <v>1998</v>
      </c>
      <c r="Y251">
        <v>12</v>
      </c>
      <c r="Z251">
        <v>14</v>
      </c>
      <c r="AA251" t="s">
        <v>683</v>
      </c>
      <c r="AC251" t="s">
        <v>1157</v>
      </c>
      <c r="AD251" t="s">
        <v>1158</v>
      </c>
      <c r="AE251" t="s">
        <v>1182</v>
      </c>
      <c r="AF251" t="s">
        <v>684</v>
      </c>
      <c r="AK251" t="s">
        <v>685</v>
      </c>
      <c r="AL251" t="s">
        <v>686</v>
      </c>
      <c r="AM251" t="s">
        <v>687</v>
      </c>
      <c r="AN251" t="s">
        <v>687</v>
      </c>
      <c r="AR251" t="s">
        <v>688</v>
      </c>
      <c r="AU251">
        <v>30</v>
      </c>
      <c r="BE251">
        <v>44490.418761574074</v>
      </c>
      <c r="BF251" t="s">
        <v>923</v>
      </c>
    </row>
    <row r="252" spans="1:58" x14ac:dyDescent="0.2">
      <c r="A252">
        <v>24</v>
      </c>
      <c r="C252" t="s">
        <v>1209</v>
      </c>
      <c r="D252" t="s">
        <v>355</v>
      </c>
      <c r="E252" t="str">
        <f t="shared" si="3"/>
        <v>z0012495</v>
      </c>
      <c r="F252" t="s">
        <v>648</v>
      </c>
      <c r="G252" s="6" t="s">
        <v>1210</v>
      </c>
      <c r="H252" t="s">
        <v>1154</v>
      </c>
      <c r="I252" t="s">
        <v>1155</v>
      </c>
      <c r="J252" t="s">
        <v>1162</v>
      </c>
      <c r="K252">
        <v>2220</v>
      </c>
      <c r="L252" t="s">
        <v>680</v>
      </c>
      <c r="N252">
        <v>2288</v>
      </c>
      <c r="O252">
        <v>12495</v>
      </c>
      <c r="V252">
        <v>5818</v>
      </c>
      <c r="W252" s="1">
        <v>36142</v>
      </c>
      <c r="X252">
        <v>1998</v>
      </c>
      <c r="Y252">
        <v>12</v>
      </c>
      <c r="Z252">
        <v>13</v>
      </c>
      <c r="AA252" t="s">
        <v>683</v>
      </c>
      <c r="AC252" t="s">
        <v>1157</v>
      </c>
      <c r="AD252" t="s">
        <v>1158</v>
      </c>
      <c r="AE252" t="s">
        <v>1182</v>
      </c>
      <c r="AF252" t="s">
        <v>684</v>
      </c>
      <c r="AK252" t="s">
        <v>685</v>
      </c>
      <c r="AL252" t="s">
        <v>686</v>
      </c>
      <c r="AM252" t="s">
        <v>687</v>
      </c>
      <c r="AN252" t="s">
        <v>687</v>
      </c>
      <c r="AR252" t="s">
        <v>688</v>
      </c>
      <c r="AU252">
        <v>30</v>
      </c>
      <c r="BE252">
        <v>44490.418761574074</v>
      </c>
      <c r="BF252" t="s">
        <v>923</v>
      </c>
    </row>
    <row r="253" spans="1:58" x14ac:dyDescent="0.2">
      <c r="A253">
        <v>25</v>
      </c>
      <c r="C253" t="s">
        <v>1211</v>
      </c>
      <c r="D253" t="s">
        <v>356</v>
      </c>
      <c r="E253" t="str">
        <f t="shared" si="3"/>
        <v>z0012496</v>
      </c>
      <c r="F253" t="s">
        <v>648</v>
      </c>
      <c r="G253" s="6" t="s">
        <v>1212</v>
      </c>
      <c r="H253" t="s">
        <v>1154</v>
      </c>
      <c r="I253" t="s">
        <v>1155</v>
      </c>
      <c r="J253" t="s">
        <v>1162</v>
      </c>
      <c r="K253">
        <v>2221</v>
      </c>
      <c r="L253" t="s">
        <v>680</v>
      </c>
      <c r="N253">
        <v>2289</v>
      </c>
      <c r="O253">
        <v>12496</v>
      </c>
      <c r="V253">
        <v>5816</v>
      </c>
      <c r="W253" s="1">
        <v>36142</v>
      </c>
      <c r="X253">
        <v>1998</v>
      </c>
      <c r="Y253">
        <v>12</v>
      </c>
      <c r="Z253">
        <v>13</v>
      </c>
      <c r="AA253" t="s">
        <v>683</v>
      </c>
      <c r="AC253" t="s">
        <v>1157</v>
      </c>
      <c r="AD253" t="s">
        <v>1158</v>
      </c>
      <c r="AE253" t="s">
        <v>1182</v>
      </c>
      <c r="AF253" t="s">
        <v>684</v>
      </c>
      <c r="AK253" t="s">
        <v>685</v>
      </c>
      <c r="AL253" t="s">
        <v>686</v>
      </c>
      <c r="AM253" t="s">
        <v>687</v>
      </c>
      <c r="AN253" t="s">
        <v>687</v>
      </c>
      <c r="AR253" t="s">
        <v>688</v>
      </c>
      <c r="AU253">
        <v>30</v>
      </c>
      <c r="BE253">
        <v>44490.418761574074</v>
      </c>
      <c r="BF253" t="s">
        <v>923</v>
      </c>
    </row>
    <row r="254" spans="1:58" x14ac:dyDescent="0.2">
      <c r="A254">
        <v>26</v>
      </c>
      <c r="C254" t="s">
        <v>1213</v>
      </c>
      <c r="D254" t="s">
        <v>358</v>
      </c>
      <c r="E254" t="str">
        <f t="shared" si="3"/>
        <v>z0012497</v>
      </c>
      <c r="F254" t="s">
        <v>648</v>
      </c>
      <c r="G254" s="6" t="s">
        <v>1214</v>
      </c>
      <c r="H254" t="s">
        <v>1154</v>
      </c>
      <c r="I254" t="s">
        <v>1155</v>
      </c>
      <c r="J254" t="s">
        <v>1162</v>
      </c>
      <c r="K254">
        <v>2222</v>
      </c>
      <c r="L254" t="s">
        <v>680</v>
      </c>
      <c r="N254">
        <v>2290</v>
      </c>
      <c r="O254">
        <v>12497</v>
      </c>
      <c r="V254">
        <v>5815</v>
      </c>
      <c r="W254" s="1">
        <v>36142</v>
      </c>
      <c r="X254">
        <v>1998</v>
      </c>
      <c r="Y254">
        <v>12</v>
      </c>
      <c r="Z254">
        <v>13</v>
      </c>
      <c r="AA254" t="s">
        <v>683</v>
      </c>
      <c r="AC254" t="s">
        <v>1157</v>
      </c>
      <c r="AD254" t="s">
        <v>1158</v>
      </c>
      <c r="AE254" t="s">
        <v>1182</v>
      </c>
      <c r="AF254" t="s">
        <v>684</v>
      </c>
      <c r="AK254" t="s">
        <v>685</v>
      </c>
      <c r="AL254" t="s">
        <v>686</v>
      </c>
      <c r="AM254" t="s">
        <v>687</v>
      </c>
      <c r="AN254" t="s">
        <v>687</v>
      </c>
      <c r="AR254" t="s">
        <v>688</v>
      </c>
      <c r="AU254">
        <v>30</v>
      </c>
      <c r="BE254">
        <v>44490.418761574074</v>
      </c>
      <c r="BF254" t="s">
        <v>923</v>
      </c>
    </row>
    <row r="255" spans="1:58" x14ac:dyDescent="0.2">
      <c r="A255">
        <v>27</v>
      </c>
      <c r="C255" t="s">
        <v>1215</v>
      </c>
      <c r="D255" t="s">
        <v>360</v>
      </c>
      <c r="E255" t="str">
        <f t="shared" si="3"/>
        <v>z0012499</v>
      </c>
      <c r="F255" t="s">
        <v>648</v>
      </c>
      <c r="G255" s="6" t="s">
        <v>1216</v>
      </c>
      <c r="H255" t="s">
        <v>1154</v>
      </c>
      <c r="I255" t="s">
        <v>1155</v>
      </c>
      <c r="J255" t="s">
        <v>1156</v>
      </c>
      <c r="K255">
        <v>2224</v>
      </c>
      <c r="L255" t="s">
        <v>680</v>
      </c>
      <c r="N255">
        <v>2292</v>
      </c>
      <c r="O255">
        <v>12499</v>
      </c>
      <c r="V255">
        <v>5813</v>
      </c>
      <c r="W255" s="1">
        <v>36142</v>
      </c>
      <c r="X255">
        <v>1998</v>
      </c>
      <c r="Y255">
        <v>12</v>
      </c>
      <c r="Z255">
        <v>13</v>
      </c>
      <c r="AA255" t="s">
        <v>683</v>
      </c>
      <c r="AC255" t="s">
        <v>1157</v>
      </c>
      <c r="AD255" t="s">
        <v>1158</v>
      </c>
      <c r="AE255" t="s">
        <v>1182</v>
      </c>
      <c r="AF255" t="s">
        <v>684</v>
      </c>
      <c r="AK255" t="s">
        <v>685</v>
      </c>
      <c r="AL255" t="s">
        <v>686</v>
      </c>
      <c r="AM255" t="s">
        <v>687</v>
      </c>
      <c r="AN255" t="s">
        <v>687</v>
      </c>
      <c r="AR255" t="s">
        <v>688</v>
      </c>
      <c r="AU255">
        <v>30</v>
      </c>
      <c r="BE255">
        <v>44490.418761574074</v>
      </c>
      <c r="BF255" t="s">
        <v>923</v>
      </c>
    </row>
    <row r="256" spans="1:58" x14ac:dyDescent="0.2">
      <c r="A256">
        <v>28</v>
      </c>
      <c r="C256" t="s">
        <v>1217</v>
      </c>
      <c r="D256" t="s">
        <v>361</v>
      </c>
      <c r="E256" t="str">
        <f t="shared" si="3"/>
        <v>z0012500</v>
      </c>
      <c r="F256" t="s">
        <v>648</v>
      </c>
      <c r="G256" s="6" t="s">
        <v>1218</v>
      </c>
      <c r="H256" t="s">
        <v>1154</v>
      </c>
      <c r="I256" t="s">
        <v>1155</v>
      </c>
      <c r="J256" t="s">
        <v>1156</v>
      </c>
      <c r="K256">
        <v>2225</v>
      </c>
      <c r="L256" t="s">
        <v>680</v>
      </c>
      <c r="N256">
        <v>2293</v>
      </c>
      <c r="O256">
        <v>12500</v>
      </c>
      <c r="V256">
        <v>5810</v>
      </c>
      <c r="W256" s="1">
        <v>36140</v>
      </c>
      <c r="X256">
        <v>1998</v>
      </c>
      <c r="Y256">
        <v>12</v>
      </c>
      <c r="Z256">
        <v>11</v>
      </c>
      <c r="AA256" t="s">
        <v>683</v>
      </c>
      <c r="AC256" t="s">
        <v>1157</v>
      </c>
      <c r="AD256" t="s">
        <v>1158</v>
      </c>
      <c r="AE256" t="s">
        <v>1182</v>
      </c>
      <c r="AF256" t="s">
        <v>684</v>
      </c>
      <c r="AK256" t="s">
        <v>685</v>
      </c>
      <c r="AL256" t="s">
        <v>686</v>
      </c>
      <c r="AM256" t="s">
        <v>687</v>
      </c>
      <c r="AN256" t="s">
        <v>687</v>
      </c>
      <c r="AR256" t="s">
        <v>688</v>
      </c>
      <c r="AU256">
        <v>30</v>
      </c>
      <c r="BE256">
        <v>44490.418761574074</v>
      </c>
      <c r="BF256" t="s">
        <v>923</v>
      </c>
    </row>
    <row r="257" spans="1:58" x14ac:dyDescent="0.2">
      <c r="A257">
        <v>30</v>
      </c>
      <c r="C257" t="s">
        <v>1221</v>
      </c>
      <c r="D257" t="s">
        <v>365</v>
      </c>
      <c r="E257" t="str">
        <f t="shared" si="3"/>
        <v>z0012503</v>
      </c>
      <c r="F257" t="s">
        <v>648</v>
      </c>
      <c r="G257" s="6" t="s">
        <v>1222</v>
      </c>
      <c r="H257" t="s">
        <v>1154</v>
      </c>
      <c r="I257" t="s">
        <v>1155</v>
      </c>
      <c r="J257" t="s">
        <v>1156</v>
      </c>
      <c r="K257">
        <v>2228</v>
      </c>
      <c r="L257" t="s">
        <v>680</v>
      </c>
      <c r="N257">
        <v>2296</v>
      </c>
      <c r="O257">
        <v>12503</v>
      </c>
      <c r="V257">
        <v>5824</v>
      </c>
      <c r="W257" s="1">
        <v>36144</v>
      </c>
      <c r="X257">
        <v>1998</v>
      </c>
      <c r="Y257">
        <v>12</v>
      </c>
      <c r="Z257">
        <v>15</v>
      </c>
      <c r="AA257" t="s">
        <v>683</v>
      </c>
      <c r="AC257" t="s">
        <v>1157</v>
      </c>
      <c r="AD257" t="s">
        <v>1158</v>
      </c>
      <c r="AE257" t="s">
        <v>1182</v>
      </c>
      <c r="AF257" t="s">
        <v>684</v>
      </c>
      <c r="AK257" t="s">
        <v>685</v>
      </c>
      <c r="AL257" t="s">
        <v>686</v>
      </c>
      <c r="AM257" t="s">
        <v>687</v>
      </c>
      <c r="AN257" t="s">
        <v>687</v>
      </c>
      <c r="AR257" t="s">
        <v>688</v>
      </c>
      <c r="AU257">
        <v>31</v>
      </c>
      <c r="BE257">
        <v>44490.418761574074</v>
      </c>
      <c r="BF257" t="s">
        <v>923</v>
      </c>
    </row>
    <row r="258" spans="1:58" x14ac:dyDescent="0.2">
      <c r="A258">
        <v>31</v>
      </c>
      <c r="C258" t="s">
        <v>1223</v>
      </c>
      <c r="D258" t="s">
        <v>366</v>
      </c>
      <c r="E258" t="str">
        <f t="shared" ref="E258:E321" si="4">LEFT(D258, 8)</f>
        <v>z0012504</v>
      </c>
      <c r="F258" t="s">
        <v>648</v>
      </c>
      <c r="G258" s="6" t="s">
        <v>1224</v>
      </c>
      <c r="H258" t="s">
        <v>1154</v>
      </c>
      <c r="I258" t="s">
        <v>1155</v>
      </c>
      <c r="J258" t="s">
        <v>1162</v>
      </c>
      <c r="K258">
        <v>2229</v>
      </c>
      <c r="L258" t="s">
        <v>680</v>
      </c>
      <c r="N258">
        <v>2297</v>
      </c>
      <c r="O258">
        <v>12504</v>
      </c>
      <c r="V258">
        <v>5846</v>
      </c>
      <c r="W258" s="1">
        <v>36147</v>
      </c>
      <c r="X258">
        <v>1998</v>
      </c>
      <c r="Y258">
        <v>12</v>
      </c>
      <c r="Z258">
        <v>18</v>
      </c>
      <c r="AA258" t="s">
        <v>683</v>
      </c>
      <c r="AC258" t="s">
        <v>1157</v>
      </c>
      <c r="AD258" t="s">
        <v>1158</v>
      </c>
      <c r="AE258" t="s">
        <v>1182</v>
      </c>
      <c r="AF258" t="s">
        <v>684</v>
      </c>
      <c r="AK258" t="s">
        <v>685</v>
      </c>
      <c r="AL258" t="s">
        <v>686</v>
      </c>
      <c r="AM258" t="s">
        <v>687</v>
      </c>
      <c r="AN258" t="s">
        <v>687</v>
      </c>
      <c r="AR258" t="s">
        <v>688</v>
      </c>
      <c r="AU258">
        <v>31</v>
      </c>
      <c r="BE258">
        <v>44490.418761574074</v>
      </c>
      <c r="BF258" t="s">
        <v>923</v>
      </c>
    </row>
    <row r="259" spans="1:58" x14ac:dyDescent="0.2">
      <c r="A259">
        <v>34</v>
      </c>
      <c r="C259" t="s">
        <v>1229</v>
      </c>
      <c r="D259" t="s">
        <v>374</v>
      </c>
      <c r="E259" t="str">
        <f t="shared" si="4"/>
        <v>z0012511</v>
      </c>
      <c r="F259" t="s">
        <v>648</v>
      </c>
      <c r="G259" s="6" t="s">
        <v>1230</v>
      </c>
      <c r="H259" t="s">
        <v>1154</v>
      </c>
      <c r="I259" t="s">
        <v>1155</v>
      </c>
      <c r="J259" t="s">
        <v>1156</v>
      </c>
      <c r="K259">
        <v>2236</v>
      </c>
      <c r="L259" t="s">
        <v>680</v>
      </c>
      <c r="N259">
        <v>2304</v>
      </c>
      <c r="O259">
        <v>12511</v>
      </c>
      <c r="V259">
        <v>5852</v>
      </c>
      <c r="W259" s="1">
        <v>36149</v>
      </c>
      <c r="X259">
        <v>1998</v>
      </c>
      <c r="Y259">
        <v>12</v>
      </c>
      <c r="Z259">
        <v>20</v>
      </c>
      <c r="AA259" t="s">
        <v>683</v>
      </c>
      <c r="AC259" t="s">
        <v>1157</v>
      </c>
      <c r="AD259" t="s">
        <v>1158</v>
      </c>
      <c r="AE259" t="s">
        <v>1182</v>
      </c>
      <c r="AF259" t="s">
        <v>684</v>
      </c>
      <c r="AK259" t="s">
        <v>685</v>
      </c>
      <c r="AL259" t="s">
        <v>686</v>
      </c>
      <c r="AM259" t="s">
        <v>687</v>
      </c>
      <c r="AN259" t="s">
        <v>687</v>
      </c>
      <c r="AR259" t="s">
        <v>688</v>
      </c>
      <c r="AU259">
        <v>31</v>
      </c>
      <c r="BE259">
        <v>44490.418761574074</v>
      </c>
      <c r="BF259" t="s">
        <v>923</v>
      </c>
    </row>
    <row r="260" spans="1:58" x14ac:dyDescent="0.2">
      <c r="A260">
        <v>35</v>
      </c>
      <c r="C260" t="s">
        <v>1231</v>
      </c>
      <c r="D260" t="s">
        <v>377</v>
      </c>
      <c r="E260" t="str">
        <f t="shared" si="4"/>
        <v>z0012514</v>
      </c>
      <c r="F260" t="s">
        <v>648</v>
      </c>
      <c r="G260" s="6" t="s">
        <v>1232</v>
      </c>
      <c r="H260" t="s">
        <v>1154</v>
      </c>
      <c r="I260" t="s">
        <v>1155</v>
      </c>
      <c r="J260" t="s">
        <v>1156</v>
      </c>
      <c r="K260">
        <v>2239</v>
      </c>
      <c r="L260" t="s">
        <v>680</v>
      </c>
      <c r="N260">
        <v>2307</v>
      </c>
      <c r="O260">
        <v>12514</v>
      </c>
      <c r="V260">
        <v>5849</v>
      </c>
      <c r="W260" s="1">
        <v>36148</v>
      </c>
      <c r="X260">
        <v>1998</v>
      </c>
      <c r="Y260">
        <v>12</v>
      </c>
      <c r="Z260">
        <v>19</v>
      </c>
      <c r="AA260" t="s">
        <v>683</v>
      </c>
      <c r="AC260" t="s">
        <v>1157</v>
      </c>
      <c r="AD260" t="s">
        <v>1158</v>
      </c>
      <c r="AE260" t="s">
        <v>1182</v>
      </c>
      <c r="AF260" t="s">
        <v>684</v>
      </c>
      <c r="AK260" t="s">
        <v>685</v>
      </c>
      <c r="AL260" t="s">
        <v>686</v>
      </c>
      <c r="AM260" t="s">
        <v>687</v>
      </c>
      <c r="AN260" t="s">
        <v>687</v>
      </c>
      <c r="AR260" t="s">
        <v>688</v>
      </c>
      <c r="AU260">
        <v>31</v>
      </c>
      <c r="BE260">
        <v>44490.418761574074</v>
      </c>
      <c r="BF260" t="s">
        <v>923</v>
      </c>
    </row>
    <row r="261" spans="1:58" x14ac:dyDescent="0.2">
      <c r="A261">
        <v>36</v>
      </c>
      <c r="C261" t="s">
        <v>1233</v>
      </c>
      <c r="D261" t="s">
        <v>379</v>
      </c>
      <c r="E261" t="str">
        <f t="shared" si="4"/>
        <v>z0012515</v>
      </c>
      <c r="F261" t="s">
        <v>648</v>
      </c>
      <c r="G261" s="6" t="s">
        <v>1234</v>
      </c>
      <c r="H261" t="s">
        <v>1154</v>
      </c>
      <c r="I261" t="s">
        <v>1155</v>
      </c>
      <c r="J261" t="s">
        <v>1162</v>
      </c>
      <c r="K261">
        <v>2240</v>
      </c>
      <c r="L261" t="s">
        <v>680</v>
      </c>
      <c r="N261">
        <v>2308</v>
      </c>
      <c r="O261">
        <v>12515</v>
      </c>
      <c r="V261">
        <v>5834</v>
      </c>
      <c r="W261" s="1">
        <v>36145</v>
      </c>
      <c r="X261">
        <v>1998</v>
      </c>
      <c r="Y261">
        <v>12</v>
      </c>
      <c r="Z261">
        <v>16</v>
      </c>
      <c r="AA261" t="s">
        <v>683</v>
      </c>
      <c r="AC261" t="s">
        <v>1157</v>
      </c>
      <c r="AD261" t="s">
        <v>1158</v>
      </c>
      <c r="AE261" t="s">
        <v>1182</v>
      </c>
      <c r="AF261" t="s">
        <v>684</v>
      </c>
      <c r="AK261" t="s">
        <v>685</v>
      </c>
      <c r="AL261" t="s">
        <v>686</v>
      </c>
      <c r="AM261" t="s">
        <v>687</v>
      </c>
      <c r="AN261" t="s">
        <v>687</v>
      </c>
      <c r="AR261" t="s">
        <v>688</v>
      </c>
      <c r="AU261">
        <v>31</v>
      </c>
      <c r="BE261">
        <v>44490.418761574074</v>
      </c>
      <c r="BF261" t="s">
        <v>923</v>
      </c>
    </row>
    <row r="262" spans="1:58" x14ac:dyDescent="0.2">
      <c r="A262">
        <v>37</v>
      </c>
      <c r="C262" t="s">
        <v>1235</v>
      </c>
      <c r="D262" t="s">
        <v>381</v>
      </c>
      <c r="E262" t="str">
        <f t="shared" si="4"/>
        <v>z0012517</v>
      </c>
      <c r="F262" t="s">
        <v>648</v>
      </c>
      <c r="G262" s="6" t="s">
        <v>1236</v>
      </c>
      <c r="H262" t="s">
        <v>1154</v>
      </c>
      <c r="I262" t="s">
        <v>1155</v>
      </c>
      <c r="J262" t="s">
        <v>1156</v>
      </c>
      <c r="K262">
        <v>2242</v>
      </c>
      <c r="L262" t="s">
        <v>680</v>
      </c>
      <c r="N262">
        <v>2310</v>
      </c>
      <c r="O262">
        <v>12517</v>
      </c>
      <c r="V262">
        <v>5835</v>
      </c>
      <c r="W262" s="1">
        <v>36145</v>
      </c>
      <c r="X262">
        <v>1998</v>
      </c>
      <c r="Y262">
        <v>12</v>
      </c>
      <c r="Z262">
        <v>16</v>
      </c>
      <c r="AA262" t="s">
        <v>683</v>
      </c>
      <c r="AC262" t="s">
        <v>1157</v>
      </c>
      <c r="AD262" t="s">
        <v>1158</v>
      </c>
      <c r="AE262" t="s">
        <v>1182</v>
      </c>
      <c r="AF262" t="s">
        <v>684</v>
      </c>
      <c r="AK262" t="s">
        <v>685</v>
      </c>
      <c r="AL262" t="s">
        <v>686</v>
      </c>
      <c r="AM262" t="s">
        <v>687</v>
      </c>
      <c r="AN262" t="s">
        <v>687</v>
      </c>
      <c r="AR262" t="s">
        <v>688</v>
      </c>
      <c r="AU262">
        <v>31</v>
      </c>
      <c r="BE262">
        <v>44490.418761574074</v>
      </c>
      <c r="BF262" t="s">
        <v>923</v>
      </c>
    </row>
    <row r="263" spans="1:58" x14ac:dyDescent="0.2">
      <c r="A263">
        <v>38</v>
      </c>
      <c r="C263" t="s">
        <v>1237</v>
      </c>
      <c r="D263" t="s">
        <v>383</v>
      </c>
      <c r="E263" t="str">
        <f t="shared" si="4"/>
        <v>z0012519</v>
      </c>
      <c r="F263" t="s">
        <v>648</v>
      </c>
      <c r="G263" s="6" t="s">
        <v>1238</v>
      </c>
      <c r="H263" t="s">
        <v>1154</v>
      </c>
      <c r="I263" t="s">
        <v>1155</v>
      </c>
      <c r="J263" t="s">
        <v>1156</v>
      </c>
      <c r="K263">
        <v>2244</v>
      </c>
      <c r="L263" t="s">
        <v>680</v>
      </c>
      <c r="N263">
        <v>2312</v>
      </c>
      <c r="O263">
        <v>12519</v>
      </c>
      <c r="V263">
        <v>5844</v>
      </c>
      <c r="W263" s="1">
        <v>36147</v>
      </c>
      <c r="X263">
        <v>1998</v>
      </c>
      <c r="Y263">
        <v>12</v>
      </c>
      <c r="Z263">
        <v>18</v>
      </c>
      <c r="AA263" t="s">
        <v>683</v>
      </c>
      <c r="AC263" t="s">
        <v>1157</v>
      </c>
      <c r="AD263" t="s">
        <v>1158</v>
      </c>
      <c r="AE263" t="s">
        <v>1182</v>
      </c>
      <c r="AF263" t="s">
        <v>684</v>
      </c>
      <c r="AK263" t="s">
        <v>685</v>
      </c>
      <c r="AL263" t="s">
        <v>686</v>
      </c>
      <c r="AM263" t="s">
        <v>687</v>
      </c>
      <c r="AN263" t="s">
        <v>687</v>
      </c>
      <c r="AR263" t="s">
        <v>688</v>
      </c>
      <c r="AU263">
        <v>31</v>
      </c>
      <c r="BE263">
        <v>44490.418761574074</v>
      </c>
      <c r="BF263" t="s">
        <v>923</v>
      </c>
    </row>
    <row r="264" spans="1:58" x14ac:dyDescent="0.2">
      <c r="A264">
        <v>39</v>
      </c>
      <c r="C264" t="s">
        <v>1239</v>
      </c>
      <c r="D264" t="s">
        <v>385</v>
      </c>
      <c r="E264" t="str">
        <f t="shared" si="4"/>
        <v>z0012520</v>
      </c>
      <c r="F264" t="s">
        <v>648</v>
      </c>
      <c r="G264" s="6" t="s">
        <v>1240</v>
      </c>
      <c r="H264" t="s">
        <v>1154</v>
      </c>
      <c r="I264" t="s">
        <v>1155</v>
      </c>
      <c r="J264" t="s">
        <v>1156</v>
      </c>
      <c r="K264">
        <v>2245</v>
      </c>
      <c r="L264" t="s">
        <v>680</v>
      </c>
      <c r="N264">
        <v>2313</v>
      </c>
      <c r="O264">
        <v>12520</v>
      </c>
      <c r="V264">
        <v>5843</v>
      </c>
      <c r="W264" s="1">
        <v>36146</v>
      </c>
      <c r="X264">
        <v>1998</v>
      </c>
      <c r="Y264">
        <v>12</v>
      </c>
      <c r="Z264">
        <v>17</v>
      </c>
      <c r="AA264" t="s">
        <v>683</v>
      </c>
      <c r="AC264" t="s">
        <v>1157</v>
      </c>
      <c r="AD264" t="s">
        <v>1158</v>
      </c>
      <c r="AE264" t="s">
        <v>1182</v>
      </c>
      <c r="AF264" t="s">
        <v>684</v>
      </c>
      <c r="AK264" t="s">
        <v>685</v>
      </c>
      <c r="AL264" t="s">
        <v>686</v>
      </c>
      <c r="AM264" t="s">
        <v>687</v>
      </c>
      <c r="AN264" t="s">
        <v>687</v>
      </c>
      <c r="AR264" t="s">
        <v>688</v>
      </c>
      <c r="AU264">
        <v>31</v>
      </c>
      <c r="BE264">
        <v>44490.418761574074</v>
      </c>
      <c r="BF264" t="s">
        <v>923</v>
      </c>
    </row>
    <row r="265" spans="1:58" x14ac:dyDescent="0.2">
      <c r="A265">
        <v>40</v>
      </c>
      <c r="C265" t="s">
        <v>1241</v>
      </c>
      <c r="D265" t="s">
        <v>387</v>
      </c>
      <c r="E265" t="str">
        <f t="shared" si="4"/>
        <v>z0012521</v>
      </c>
      <c r="F265" t="s">
        <v>648</v>
      </c>
      <c r="G265" s="6" t="s">
        <v>1242</v>
      </c>
      <c r="H265" t="s">
        <v>1154</v>
      </c>
      <c r="I265" t="s">
        <v>1155</v>
      </c>
      <c r="J265" t="s">
        <v>1156</v>
      </c>
      <c r="K265">
        <v>2246</v>
      </c>
      <c r="L265" t="s">
        <v>680</v>
      </c>
      <c r="N265">
        <v>2314</v>
      </c>
      <c r="O265">
        <v>12521</v>
      </c>
      <c r="V265">
        <v>5842</v>
      </c>
      <c r="W265" s="1">
        <v>36146</v>
      </c>
      <c r="X265">
        <v>1998</v>
      </c>
      <c r="Y265">
        <v>12</v>
      </c>
      <c r="Z265">
        <v>17</v>
      </c>
      <c r="AA265" t="s">
        <v>683</v>
      </c>
      <c r="AC265" t="s">
        <v>1157</v>
      </c>
      <c r="AD265" t="s">
        <v>1158</v>
      </c>
      <c r="AE265" t="s">
        <v>1182</v>
      </c>
      <c r="AF265" t="s">
        <v>684</v>
      </c>
      <c r="AK265" t="s">
        <v>685</v>
      </c>
      <c r="AL265" t="s">
        <v>686</v>
      </c>
      <c r="AM265" t="s">
        <v>687</v>
      </c>
      <c r="AN265" t="s">
        <v>687</v>
      </c>
      <c r="AR265" t="s">
        <v>688</v>
      </c>
      <c r="AU265">
        <v>31</v>
      </c>
      <c r="BE265">
        <v>44490.418761574074</v>
      </c>
      <c r="BF265" t="s">
        <v>923</v>
      </c>
    </row>
    <row r="266" spans="1:58" x14ac:dyDescent="0.2">
      <c r="A266">
        <v>41</v>
      </c>
      <c r="C266" t="s">
        <v>1243</v>
      </c>
      <c r="D266" t="s">
        <v>389</v>
      </c>
      <c r="E266" t="str">
        <f t="shared" si="4"/>
        <v>z0012522</v>
      </c>
      <c r="F266" t="s">
        <v>648</v>
      </c>
      <c r="G266" s="6" t="s">
        <v>1244</v>
      </c>
      <c r="H266" t="s">
        <v>1154</v>
      </c>
      <c r="I266" t="s">
        <v>1155</v>
      </c>
      <c r="J266" t="s">
        <v>1156</v>
      </c>
      <c r="K266">
        <v>2247</v>
      </c>
      <c r="L266" t="s">
        <v>680</v>
      </c>
      <c r="N266">
        <v>2315</v>
      </c>
      <c r="O266">
        <v>12522</v>
      </c>
      <c r="V266">
        <v>5841</v>
      </c>
      <c r="W266" s="1">
        <v>36146</v>
      </c>
      <c r="X266">
        <v>1998</v>
      </c>
      <c r="Y266">
        <v>12</v>
      </c>
      <c r="Z266">
        <v>17</v>
      </c>
      <c r="AA266" t="s">
        <v>683</v>
      </c>
      <c r="AC266" t="s">
        <v>1157</v>
      </c>
      <c r="AD266" t="s">
        <v>1158</v>
      </c>
      <c r="AE266" t="s">
        <v>1182</v>
      </c>
      <c r="AF266" t="s">
        <v>684</v>
      </c>
      <c r="AK266" t="s">
        <v>685</v>
      </c>
      <c r="AL266" t="s">
        <v>686</v>
      </c>
      <c r="AM266" t="s">
        <v>687</v>
      </c>
      <c r="AN266" t="s">
        <v>687</v>
      </c>
      <c r="AR266" t="s">
        <v>688</v>
      </c>
      <c r="AU266">
        <v>31</v>
      </c>
      <c r="BE266">
        <v>44490.418761574074</v>
      </c>
      <c r="BF266" t="s">
        <v>923</v>
      </c>
    </row>
    <row r="267" spans="1:58" x14ac:dyDescent="0.2">
      <c r="A267">
        <v>42</v>
      </c>
      <c r="C267" t="s">
        <v>1245</v>
      </c>
      <c r="D267" t="s">
        <v>390</v>
      </c>
      <c r="E267" t="str">
        <f t="shared" si="4"/>
        <v>z0012523</v>
      </c>
      <c r="F267" t="s">
        <v>648</v>
      </c>
      <c r="G267" s="6" t="s">
        <v>1246</v>
      </c>
      <c r="H267" t="s">
        <v>1154</v>
      </c>
      <c r="I267" t="s">
        <v>1155</v>
      </c>
      <c r="J267" t="s">
        <v>1162</v>
      </c>
      <c r="K267">
        <v>2248</v>
      </c>
      <c r="L267" t="s">
        <v>680</v>
      </c>
      <c r="N267">
        <v>2316</v>
      </c>
      <c r="O267">
        <v>12523</v>
      </c>
      <c r="V267">
        <v>5840</v>
      </c>
      <c r="W267" s="1">
        <v>36146</v>
      </c>
      <c r="X267">
        <v>1998</v>
      </c>
      <c r="Y267">
        <v>12</v>
      </c>
      <c r="Z267">
        <v>17</v>
      </c>
      <c r="AA267" t="s">
        <v>683</v>
      </c>
      <c r="AC267" t="s">
        <v>1157</v>
      </c>
      <c r="AD267" t="s">
        <v>1158</v>
      </c>
      <c r="AE267" t="s">
        <v>1182</v>
      </c>
      <c r="AF267" t="s">
        <v>684</v>
      </c>
      <c r="AK267" t="s">
        <v>685</v>
      </c>
      <c r="AL267" t="s">
        <v>686</v>
      </c>
      <c r="AM267" t="s">
        <v>687</v>
      </c>
      <c r="AN267" t="s">
        <v>687</v>
      </c>
      <c r="AR267" t="s">
        <v>688</v>
      </c>
      <c r="AU267">
        <v>31</v>
      </c>
      <c r="BE267">
        <v>44490.418761574074</v>
      </c>
      <c r="BF267" t="s">
        <v>923</v>
      </c>
    </row>
    <row r="268" spans="1:58" x14ac:dyDescent="0.2">
      <c r="A268">
        <v>43</v>
      </c>
      <c r="C268" t="s">
        <v>1247</v>
      </c>
      <c r="D268" t="s">
        <v>391</v>
      </c>
      <c r="E268" t="str">
        <f t="shared" si="4"/>
        <v>z0012524</v>
      </c>
      <c r="F268" t="s">
        <v>648</v>
      </c>
      <c r="G268" s="6" t="s">
        <v>1248</v>
      </c>
      <c r="H268" t="s">
        <v>1154</v>
      </c>
      <c r="I268" t="s">
        <v>1155</v>
      </c>
      <c r="J268" t="s">
        <v>1156</v>
      </c>
      <c r="K268">
        <v>2249</v>
      </c>
      <c r="L268" t="s">
        <v>680</v>
      </c>
      <c r="N268">
        <v>2317</v>
      </c>
      <c r="O268">
        <v>12524</v>
      </c>
      <c r="V268">
        <v>5839</v>
      </c>
      <c r="W268" s="1">
        <v>36146</v>
      </c>
      <c r="X268">
        <v>1998</v>
      </c>
      <c r="Y268">
        <v>12</v>
      </c>
      <c r="Z268">
        <v>17</v>
      </c>
      <c r="AA268" t="s">
        <v>683</v>
      </c>
      <c r="AC268" t="s">
        <v>1157</v>
      </c>
      <c r="AD268" t="s">
        <v>1158</v>
      </c>
      <c r="AE268" t="s">
        <v>1182</v>
      </c>
      <c r="AF268" t="s">
        <v>684</v>
      </c>
      <c r="AK268" t="s">
        <v>685</v>
      </c>
      <c r="AL268" t="s">
        <v>686</v>
      </c>
      <c r="AM268" t="s">
        <v>687</v>
      </c>
      <c r="AN268" t="s">
        <v>687</v>
      </c>
      <c r="AR268" t="s">
        <v>688</v>
      </c>
      <c r="AU268">
        <v>31</v>
      </c>
      <c r="BE268">
        <v>44490.418761574074</v>
      </c>
      <c r="BF268" t="s">
        <v>923</v>
      </c>
    </row>
    <row r="269" spans="1:58" x14ac:dyDescent="0.2">
      <c r="A269">
        <v>44</v>
      </c>
      <c r="C269" t="s">
        <v>1249</v>
      </c>
      <c r="D269" t="s">
        <v>392</v>
      </c>
      <c r="E269" t="str">
        <f t="shared" si="4"/>
        <v>z0012525</v>
      </c>
      <c r="F269" t="s">
        <v>648</v>
      </c>
      <c r="G269" s="6" t="s">
        <v>1250</v>
      </c>
      <c r="H269" t="s">
        <v>1154</v>
      </c>
      <c r="I269" t="s">
        <v>1155</v>
      </c>
      <c r="J269" t="s">
        <v>1156</v>
      </c>
      <c r="K269">
        <v>2250</v>
      </c>
      <c r="L269" t="s">
        <v>680</v>
      </c>
      <c r="N269">
        <v>2318</v>
      </c>
      <c r="O269">
        <v>12525</v>
      </c>
      <c r="V269">
        <v>5838</v>
      </c>
      <c r="W269" s="1">
        <v>36146</v>
      </c>
      <c r="X269">
        <v>1998</v>
      </c>
      <c r="Y269">
        <v>12</v>
      </c>
      <c r="Z269">
        <v>17</v>
      </c>
      <c r="AA269" t="s">
        <v>683</v>
      </c>
      <c r="AC269" t="s">
        <v>1157</v>
      </c>
      <c r="AD269" t="s">
        <v>1158</v>
      </c>
      <c r="AE269" t="s">
        <v>1182</v>
      </c>
      <c r="AF269" t="s">
        <v>684</v>
      </c>
      <c r="AK269" t="s">
        <v>685</v>
      </c>
      <c r="AL269" t="s">
        <v>686</v>
      </c>
      <c r="AM269" t="s">
        <v>687</v>
      </c>
      <c r="AN269" t="s">
        <v>687</v>
      </c>
      <c r="AR269" t="s">
        <v>688</v>
      </c>
      <c r="AU269">
        <v>31</v>
      </c>
      <c r="BE269">
        <v>44490.418761574074</v>
      </c>
      <c r="BF269" t="s">
        <v>923</v>
      </c>
    </row>
    <row r="270" spans="1:58" x14ac:dyDescent="0.2">
      <c r="A270">
        <v>45</v>
      </c>
      <c r="C270" t="s">
        <v>1251</v>
      </c>
      <c r="D270" t="s">
        <v>393</v>
      </c>
      <c r="E270" t="str">
        <f t="shared" si="4"/>
        <v>z0012526</v>
      </c>
      <c r="F270" t="s">
        <v>648</v>
      </c>
      <c r="G270" s="6" t="s">
        <v>1252</v>
      </c>
      <c r="H270" t="s">
        <v>1154</v>
      </c>
      <c r="I270" t="s">
        <v>1155</v>
      </c>
      <c r="J270" t="s">
        <v>1156</v>
      </c>
      <c r="K270">
        <v>2251</v>
      </c>
      <c r="L270" t="s">
        <v>680</v>
      </c>
      <c r="N270">
        <v>2319</v>
      </c>
      <c r="O270">
        <v>12526</v>
      </c>
      <c r="V270">
        <v>5837</v>
      </c>
      <c r="W270" s="1">
        <v>36145</v>
      </c>
      <c r="X270">
        <v>1998</v>
      </c>
      <c r="Y270">
        <v>12</v>
      </c>
      <c r="Z270">
        <v>16</v>
      </c>
      <c r="AA270" t="s">
        <v>683</v>
      </c>
      <c r="AC270" t="s">
        <v>1157</v>
      </c>
      <c r="AD270" t="s">
        <v>1158</v>
      </c>
      <c r="AE270" t="s">
        <v>1182</v>
      </c>
      <c r="AF270" t="s">
        <v>684</v>
      </c>
      <c r="AK270" t="s">
        <v>685</v>
      </c>
      <c r="AL270" t="s">
        <v>686</v>
      </c>
      <c r="AM270" t="s">
        <v>687</v>
      </c>
      <c r="AN270" t="s">
        <v>687</v>
      </c>
      <c r="AR270" t="s">
        <v>688</v>
      </c>
      <c r="AU270">
        <v>31</v>
      </c>
      <c r="BC270" t="s">
        <v>924</v>
      </c>
      <c r="BE270">
        <v>44490.418761574074</v>
      </c>
      <c r="BF270" t="s">
        <v>923</v>
      </c>
    </row>
    <row r="271" spans="1:58" x14ac:dyDescent="0.2">
      <c r="A271">
        <v>47</v>
      </c>
      <c r="C271" t="s">
        <v>1255</v>
      </c>
      <c r="D271" t="s">
        <v>396</v>
      </c>
      <c r="E271" t="str">
        <f t="shared" si="4"/>
        <v>z0012528</v>
      </c>
      <c r="F271" t="s">
        <v>648</v>
      </c>
      <c r="G271" s="6" t="s">
        <v>1256</v>
      </c>
      <c r="H271" t="s">
        <v>1154</v>
      </c>
      <c r="I271" t="s">
        <v>1155</v>
      </c>
      <c r="J271" t="s">
        <v>1156</v>
      </c>
      <c r="K271">
        <v>2253</v>
      </c>
      <c r="L271" t="s">
        <v>680</v>
      </c>
      <c r="N271">
        <v>2321</v>
      </c>
      <c r="O271">
        <v>12528</v>
      </c>
      <c r="V271">
        <v>5848</v>
      </c>
      <c r="W271" s="1">
        <v>36147</v>
      </c>
      <c r="X271">
        <v>1998</v>
      </c>
      <c r="Y271">
        <v>12</v>
      </c>
      <c r="Z271">
        <v>18</v>
      </c>
      <c r="AA271" t="s">
        <v>683</v>
      </c>
      <c r="AC271" t="s">
        <v>1157</v>
      </c>
      <c r="AD271" t="s">
        <v>1158</v>
      </c>
      <c r="AE271" t="s">
        <v>1182</v>
      </c>
      <c r="AF271" t="s">
        <v>684</v>
      </c>
      <c r="AK271" t="s">
        <v>685</v>
      </c>
      <c r="AL271" t="s">
        <v>686</v>
      </c>
      <c r="AM271" t="s">
        <v>687</v>
      </c>
      <c r="AN271" t="s">
        <v>687</v>
      </c>
      <c r="AR271" t="s">
        <v>688</v>
      </c>
      <c r="AU271">
        <v>31</v>
      </c>
      <c r="BE271">
        <v>44490.418761574074</v>
      </c>
      <c r="BF271" t="s">
        <v>923</v>
      </c>
    </row>
    <row r="272" spans="1:58" x14ac:dyDescent="0.2">
      <c r="A272">
        <v>181</v>
      </c>
      <c r="C272" t="s">
        <v>1542</v>
      </c>
      <c r="D272" t="s">
        <v>337</v>
      </c>
      <c r="E272" t="str">
        <f t="shared" si="4"/>
        <v>z0012480</v>
      </c>
      <c r="F272" t="s">
        <v>648</v>
      </c>
      <c r="G272" s="6" t="s">
        <v>1543</v>
      </c>
      <c r="H272" t="s">
        <v>1154</v>
      </c>
      <c r="I272" t="s">
        <v>1155</v>
      </c>
      <c r="J272" t="s">
        <v>1156</v>
      </c>
      <c r="K272">
        <v>2205</v>
      </c>
      <c r="L272" t="s">
        <v>680</v>
      </c>
      <c r="N272">
        <v>2273</v>
      </c>
      <c r="O272">
        <v>12480</v>
      </c>
      <c r="V272">
        <v>5821</v>
      </c>
      <c r="W272" s="1">
        <v>36143</v>
      </c>
      <c r="X272">
        <v>1998</v>
      </c>
      <c r="Y272">
        <v>12</v>
      </c>
      <c r="Z272">
        <v>14</v>
      </c>
      <c r="AA272" t="s">
        <v>683</v>
      </c>
      <c r="AC272" t="s">
        <v>1157</v>
      </c>
      <c r="AD272" t="s">
        <v>1158</v>
      </c>
      <c r="AE272" t="s">
        <v>1182</v>
      </c>
      <c r="AF272" t="s">
        <v>684</v>
      </c>
      <c r="AK272" t="s">
        <v>685</v>
      </c>
      <c r="AL272" t="s">
        <v>686</v>
      </c>
      <c r="AM272" t="s">
        <v>687</v>
      </c>
      <c r="AN272" t="s">
        <v>687</v>
      </c>
      <c r="AR272" t="s">
        <v>688</v>
      </c>
      <c r="AU272">
        <v>30</v>
      </c>
      <c r="BE272">
        <v>44490.418761574074</v>
      </c>
      <c r="BF272" t="s">
        <v>923</v>
      </c>
    </row>
    <row r="273" spans="1:58" x14ac:dyDescent="0.2">
      <c r="A273">
        <v>182</v>
      </c>
      <c r="C273" t="s">
        <v>1544</v>
      </c>
      <c r="D273" t="s">
        <v>339</v>
      </c>
      <c r="E273" t="str">
        <f t="shared" si="4"/>
        <v>z0012481</v>
      </c>
      <c r="F273" t="s">
        <v>648</v>
      </c>
      <c r="G273" s="6" t="s">
        <v>1545</v>
      </c>
      <c r="H273" t="s">
        <v>1154</v>
      </c>
      <c r="I273" t="s">
        <v>1155</v>
      </c>
      <c r="J273" t="s">
        <v>1156</v>
      </c>
      <c r="K273">
        <v>2206</v>
      </c>
      <c r="L273" t="s">
        <v>680</v>
      </c>
      <c r="N273">
        <v>2274</v>
      </c>
      <c r="O273">
        <v>12481</v>
      </c>
      <c r="V273">
        <v>5833</v>
      </c>
      <c r="W273" s="1">
        <v>36145</v>
      </c>
      <c r="X273">
        <v>1998</v>
      </c>
      <c r="Y273">
        <v>12</v>
      </c>
      <c r="Z273">
        <v>16</v>
      </c>
      <c r="AA273" t="s">
        <v>683</v>
      </c>
      <c r="AC273" t="s">
        <v>1157</v>
      </c>
      <c r="AD273" t="s">
        <v>1158</v>
      </c>
      <c r="AE273" t="s">
        <v>1182</v>
      </c>
      <c r="AF273" t="s">
        <v>684</v>
      </c>
      <c r="AK273" t="s">
        <v>685</v>
      </c>
      <c r="AL273" t="s">
        <v>686</v>
      </c>
      <c r="AM273" t="s">
        <v>687</v>
      </c>
      <c r="AN273" t="s">
        <v>687</v>
      </c>
      <c r="AR273" t="s">
        <v>688</v>
      </c>
      <c r="AU273">
        <v>30</v>
      </c>
      <c r="BE273">
        <v>44490.418761574074</v>
      </c>
      <c r="BF273" t="s">
        <v>923</v>
      </c>
    </row>
    <row r="274" spans="1:58" x14ac:dyDescent="0.2">
      <c r="A274">
        <v>183</v>
      </c>
      <c r="C274" t="s">
        <v>1546</v>
      </c>
      <c r="D274" t="s">
        <v>348</v>
      </c>
      <c r="E274" t="str">
        <f t="shared" si="4"/>
        <v>z0012489</v>
      </c>
      <c r="F274" t="s">
        <v>648</v>
      </c>
      <c r="G274" s="6" t="s">
        <v>1547</v>
      </c>
      <c r="H274" t="s">
        <v>1154</v>
      </c>
      <c r="I274" t="s">
        <v>1155</v>
      </c>
      <c r="J274" t="s">
        <v>1156</v>
      </c>
      <c r="K274">
        <v>2214</v>
      </c>
      <c r="L274" t="s">
        <v>680</v>
      </c>
      <c r="N274">
        <v>2282</v>
      </c>
      <c r="O274">
        <v>12489</v>
      </c>
      <c r="V274">
        <v>5825</v>
      </c>
      <c r="W274" s="1">
        <v>36144</v>
      </c>
      <c r="X274">
        <v>1998</v>
      </c>
      <c r="Y274">
        <v>12</v>
      </c>
      <c r="Z274">
        <v>15</v>
      </c>
      <c r="AA274" t="s">
        <v>683</v>
      </c>
      <c r="AC274" t="s">
        <v>1157</v>
      </c>
      <c r="AD274" t="s">
        <v>1158</v>
      </c>
      <c r="AE274" t="s">
        <v>1182</v>
      </c>
      <c r="AF274" t="s">
        <v>684</v>
      </c>
      <c r="AK274" t="s">
        <v>685</v>
      </c>
      <c r="AL274" t="s">
        <v>686</v>
      </c>
      <c r="AM274" t="s">
        <v>687</v>
      </c>
      <c r="AN274" t="s">
        <v>687</v>
      </c>
      <c r="AR274" t="s">
        <v>688</v>
      </c>
      <c r="AU274">
        <v>30</v>
      </c>
      <c r="BE274">
        <v>44490.418761574074</v>
      </c>
      <c r="BF274" t="s">
        <v>923</v>
      </c>
    </row>
    <row r="275" spans="1:58" x14ac:dyDescent="0.2">
      <c r="A275">
        <v>184</v>
      </c>
      <c r="C275" t="s">
        <v>1548</v>
      </c>
      <c r="D275" t="s">
        <v>352</v>
      </c>
      <c r="E275" t="str">
        <f t="shared" si="4"/>
        <v>z0012492</v>
      </c>
      <c r="F275" t="s">
        <v>648</v>
      </c>
      <c r="G275" s="6" t="s">
        <v>1549</v>
      </c>
      <c r="H275" t="s">
        <v>1154</v>
      </c>
      <c r="I275" t="s">
        <v>1155</v>
      </c>
      <c r="J275" t="s">
        <v>1156</v>
      </c>
      <c r="K275">
        <v>2217</v>
      </c>
      <c r="L275" t="s">
        <v>680</v>
      </c>
      <c r="N275">
        <v>2285</v>
      </c>
      <c r="O275">
        <v>12492</v>
      </c>
      <c r="V275">
        <v>5836</v>
      </c>
      <c r="W275" s="1">
        <v>36145</v>
      </c>
      <c r="X275">
        <v>1998</v>
      </c>
      <c r="Y275">
        <v>12</v>
      </c>
      <c r="Z275">
        <v>16</v>
      </c>
      <c r="AA275" t="s">
        <v>683</v>
      </c>
      <c r="AC275" t="s">
        <v>1157</v>
      </c>
      <c r="AD275" t="s">
        <v>1158</v>
      </c>
      <c r="AE275" t="s">
        <v>1182</v>
      </c>
      <c r="AF275" t="s">
        <v>684</v>
      </c>
      <c r="AK275" t="s">
        <v>685</v>
      </c>
      <c r="AL275" t="s">
        <v>686</v>
      </c>
      <c r="AM275" t="s">
        <v>687</v>
      </c>
      <c r="AN275" t="s">
        <v>687</v>
      </c>
      <c r="AR275" t="s">
        <v>688</v>
      </c>
      <c r="AU275">
        <v>30</v>
      </c>
      <c r="BE275">
        <v>44490.418761574074</v>
      </c>
      <c r="BF275" t="s">
        <v>923</v>
      </c>
    </row>
    <row r="276" spans="1:58" x14ac:dyDescent="0.2">
      <c r="A276">
        <v>185</v>
      </c>
      <c r="C276" t="s">
        <v>1550</v>
      </c>
      <c r="D276" t="s">
        <v>357</v>
      </c>
      <c r="E276" t="str">
        <f t="shared" si="4"/>
        <v>z0012496</v>
      </c>
      <c r="F276" t="s">
        <v>648</v>
      </c>
      <c r="G276" s="6" t="s">
        <v>1551</v>
      </c>
      <c r="H276" t="s">
        <v>1154</v>
      </c>
      <c r="I276" t="s">
        <v>1155</v>
      </c>
      <c r="J276" t="s">
        <v>1156</v>
      </c>
      <c r="K276">
        <v>2221</v>
      </c>
      <c r="L276" t="s">
        <v>680</v>
      </c>
      <c r="N276">
        <v>2289</v>
      </c>
      <c r="O276">
        <v>12496</v>
      </c>
      <c r="V276">
        <v>5816</v>
      </c>
      <c r="W276" s="1">
        <v>36142</v>
      </c>
      <c r="X276">
        <v>1998</v>
      </c>
      <c r="Y276">
        <v>12</v>
      </c>
      <c r="Z276">
        <v>13</v>
      </c>
      <c r="AA276" t="s">
        <v>683</v>
      </c>
      <c r="AC276" t="s">
        <v>1157</v>
      </c>
      <c r="AD276" t="s">
        <v>1158</v>
      </c>
      <c r="AE276" t="s">
        <v>1182</v>
      </c>
      <c r="AF276" t="s">
        <v>684</v>
      </c>
      <c r="AK276" t="s">
        <v>685</v>
      </c>
      <c r="AL276" t="s">
        <v>686</v>
      </c>
      <c r="AM276" t="s">
        <v>687</v>
      </c>
      <c r="AN276" t="s">
        <v>687</v>
      </c>
      <c r="AR276" t="s">
        <v>688</v>
      </c>
      <c r="AU276">
        <v>30</v>
      </c>
      <c r="BE276">
        <v>44490.418761574074</v>
      </c>
      <c r="BF276" t="s">
        <v>923</v>
      </c>
    </row>
    <row r="277" spans="1:58" x14ac:dyDescent="0.2">
      <c r="A277">
        <v>186</v>
      </c>
      <c r="C277" t="s">
        <v>1552</v>
      </c>
      <c r="D277" t="s">
        <v>362</v>
      </c>
      <c r="E277" t="str">
        <f t="shared" si="4"/>
        <v>z0012500</v>
      </c>
      <c r="F277" t="s">
        <v>648</v>
      </c>
      <c r="G277" s="6" t="s">
        <v>1553</v>
      </c>
      <c r="H277" t="s">
        <v>1154</v>
      </c>
      <c r="I277" t="s">
        <v>1155</v>
      </c>
      <c r="J277" t="s">
        <v>1162</v>
      </c>
      <c r="K277">
        <v>2225</v>
      </c>
      <c r="L277" t="s">
        <v>680</v>
      </c>
      <c r="N277">
        <v>2293</v>
      </c>
      <c r="O277">
        <v>12500</v>
      </c>
      <c r="V277">
        <v>5810</v>
      </c>
      <c r="W277" s="1">
        <v>36140</v>
      </c>
      <c r="X277">
        <v>1998</v>
      </c>
      <c r="Y277">
        <v>12</v>
      </c>
      <c r="Z277">
        <v>11</v>
      </c>
      <c r="AA277" t="s">
        <v>683</v>
      </c>
      <c r="AC277" t="s">
        <v>1157</v>
      </c>
      <c r="AD277" t="s">
        <v>1158</v>
      </c>
      <c r="AE277" t="s">
        <v>1182</v>
      </c>
      <c r="AF277" t="s">
        <v>684</v>
      </c>
      <c r="AK277" t="s">
        <v>685</v>
      </c>
      <c r="AL277" t="s">
        <v>686</v>
      </c>
      <c r="AM277" t="s">
        <v>687</v>
      </c>
      <c r="AN277" t="s">
        <v>687</v>
      </c>
      <c r="AR277" t="s">
        <v>688</v>
      </c>
      <c r="AU277">
        <v>30</v>
      </c>
      <c r="BE277">
        <v>44490.418761574074</v>
      </c>
      <c r="BF277" t="s">
        <v>923</v>
      </c>
    </row>
    <row r="278" spans="1:58" x14ac:dyDescent="0.2">
      <c r="A278">
        <v>189</v>
      </c>
      <c r="C278" t="s">
        <v>1558</v>
      </c>
      <c r="D278" t="s">
        <v>378</v>
      </c>
      <c r="E278" t="str">
        <f t="shared" si="4"/>
        <v>z0012514</v>
      </c>
      <c r="F278" t="s">
        <v>648</v>
      </c>
      <c r="G278" s="6" t="s">
        <v>1559</v>
      </c>
      <c r="H278" t="s">
        <v>1154</v>
      </c>
      <c r="I278" t="s">
        <v>1155</v>
      </c>
      <c r="J278" t="s">
        <v>1162</v>
      </c>
      <c r="K278">
        <v>2239</v>
      </c>
      <c r="L278" t="s">
        <v>680</v>
      </c>
      <c r="N278">
        <v>2307</v>
      </c>
      <c r="O278">
        <v>12514</v>
      </c>
      <c r="V278">
        <v>5849</v>
      </c>
      <c r="W278" s="1">
        <v>36148</v>
      </c>
      <c r="X278">
        <v>1998</v>
      </c>
      <c r="Y278">
        <v>12</v>
      </c>
      <c r="Z278">
        <v>19</v>
      </c>
      <c r="AA278" t="s">
        <v>683</v>
      </c>
      <c r="AC278" t="s">
        <v>1157</v>
      </c>
      <c r="AD278" t="s">
        <v>1158</v>
      </c>
      <c r="AE278" t="s">
        <v>1182</v>
      </c>
      <c r="AF278" t="s">
        <v>684</v>
      </c>
      <c r="AK278" t="s">
        <v>685</v>
      </c>
      <c r="AL278" t="s">
        <v>686</v>
      </c>
      <c r="AM278" t="s">
        <v>687</v>
      </c>
      <c r="AN278" t="s">
        <v>687</v>
      </c>
      <c r="AR278" t="s">
        <v>688</v>
      </c>
      <c r="AU278">
        <v>31</v>
      </c>
      <c r="BE278">
        <v>44490.418761574074</v>
      </c>
      <c r="BF278" t="s">
        <v>923</v>
      </c>
    </row>
    <row r="279" spans="1:58" x14ac:dyDescent="0.2">
      <c r="A279">
        <v>190</v>
      </c>
      <c r="C279" t="s">
        <v>1560</v>
      </c>
      <c r="D279" t="s">
        <v>384</v>
      </c>
      <c r="E279" t="str">
        <f t="shared" si="4"/>
        <v>z0012519</v>
      </c>
      <c r="F279" t="s">
        <v>648</v>
      </c>
      <c r="G279" s="6" t="s">
        <v>1561</v>
      </c>
      <c r="H279" t="s">
        <v>1154</v>
      </c>
      <c r="I279" t="s">
        <v>1155</v>
      </c>
      <c r="J279" t="s">
        <v>1156</v>
      </c>
      <c r="K279">
        <v>2244</v>
      </c>
      <c r="L279" t="s">
        <v>680</v>
      </c>
      <c r="N279">
        <v>2312</v>
      </c>
      <c r="O279">
        <v>12519</v>
      </c>
      <c r="V279">
        <v>5844</v>
      </c>
      <c r="W279" s="1">
        <v>36147</v>
      </c>
      <c r="X279">
        <v>1998</v>
      </c>
      <c r="Y279">
        <v>12</v>
      </c>
      <c r="Z279">
        <v>18</v>
      </c>
      <c r="AA279" t="s">
        <v>683</v>
      </c>
      <c r="AC279" t="s">
        <v>1157</v>
      </c>
      <c r="AD279" t="s">
        <v>1158</v>
      </c>
      <c r="AE279" t="s">
        <v>1182</v>
      </c>
      <c r="AF279" t="s">
        <v>684</v>
      </c>
      <c r="AK279" t="s">
        <v>685</v>
      </c>
      <c r="AL279" t="s">
        <v>686</v>
      </c>
      <c r="AM279" t="s">
        <v>687</v>
      </c>
      <c r="AN279" t="s">
        <v>687</v>
      </c>
      <c r="AR279" t="s">
        <v>688</v>
      </c>
      <c r="AU279">
        <v>31</v>
      </c>
      <c r="BE279">
        <v>44490.418761574074</v>
      </c>
      <c r="BF279" t="s">
        <v>923</v>
      </c>
    </row>
    <row r="280" spans="1:58" x14ac:dyDescent="0.2">
      <c r="A280">
        <v>191</v>
      </c>
      <c r="C280" t="s">
        <v>1562</v>
      </c>
      <c r="D280" t="s">
        <v>386</v>
      </c>
      <c r="E280" t="str">
        <f t="shared" si="4"/>
        <v>z0012520</v>
      </c>
      <c r="F280" t="s">
        <v>648</v>
      </c>
      <c r="G280" s="6" t="s">
        <v>1563</v>
      </c>
      <c r="H280" t="s">
        <v>1154</v>
      </c>
      <c r="I280" t="s">
        <v>1155</v>
      </c>
      <c r="J280" t="s">
        <v>1156</v>
      </c>
      <c r="K280">
        <v>2245</v>
      </c>
      <c r="L280" t="s">
        <v>680</v>
      </c>
      <c r="N280">
        <v>2313</v>
      </c>
      <c r="O280">
        <v>12520</v>
      </c>
      <c r="V280">
        <v>5843</v>
      </c>
      <c r="W280" s="1">
        <v>36146</v>
      </c>
      <c r="X280">
        <v>1998</v>
      </c>
      <c r="Y280">
        <v>12</v>
      </c>
      <c r="Z280">
        <v>17</v>
      </c>
      <c r="AA280" t="s">
        <v>683</v>
      </c>
      <c r="AC280" t="s">
        <v>1157</v>
      </c>
      <c r="AD280" t="s">
        <v>1158</v>
      </c>
      <c r="AE280" t="s">
        <v>1182</v>
      </c>
      <c r="AF280" t="s">
        <v>684</v>
      </c>
      <c r="AK280" t="s">
        <v>685</v>
      </c>
      <c r="AL280" t="s">
        <v>686</v>
      </c>
      <c r="AM280" t="s">
        <v>687</v>
      </c>
      <c r="AN280" t="s">
        <v>687</v>
      </c>
      <c r="AR280" t="s">
        <v>688</v>
      </c>
      <c r="AU280">
        <v>31</v>
      </c>
      <c r="BE280">
        <v>44490.418761574074</v>
      </c>
      <c r="BF280" t="s">
        <v>923</v>
      </c>
    </row>
    <row r="281" spans="1:58" x14ac:dyDescent="0.2">
      <c r="A281">
        <v>192</v>
      </c>
      <c r="C281" t="s">
        <v>1564</v>
      </c>
      <c r="D281" t="s">
        <v>388</v>
      </c>
      <c r="E281" t="str">
        <f t="shared" si="4"/>
        <v>z0012521</v>
      </c>
      <c r="F281" t="s">
        <v>648</v>
      </c>
      <c r="G281" s="6" t="s">
        <v>1565</v>
      </c>
      <c r="H281" t="s">
        <v>1154</v>
      </c>
      <c r="I281" t="s">
        <v>1155</v>
      </c>
      <c r="J281" t="s">
        <v>1156</v>
      </c>
      <c r="K281">
        <v>2246</v>
      </c>
      <c r="L281" t="s">
        <v>680</v>
      </c>
      <c r="N281">
        <v>2314</v>
      </c>
      <c r="O281">
        <v>12521</v>
      </c>
      <c r="V281">
        <v>5842</v>
      </c>
      <c r="W281" s="1">
        <v>36146</v>
      </c>
      <c r="X281">
        <v>1998</v>
      </c>
      <c r="Y281">
        <v>12</v>
      </c>
      <c r="Z281">
        <v>17</v>
      </c>
      <c r="AA281" t="s">
        <v>683</v>
      </c>
      <c r="AC281" t="s">
        <v>1157</v>
      </c>
      <c r="AD281" t="s">
        <v>1158</v>
      </c>
      <c r="AE281" t="s">
        <v>1182</v>
      </c>
      <c r="AF281" t="s">
        <v>684</v>
      </c>
      <c r="AK281" t="s">
        <v>685</v>
      </c>
      <c r="AL281" t="s">
        <v>686</v>
      </c>
      <c r="AM281" t="s">
        <v>687</v>
      </c>
      <c r="AN281" t="s">
        <v>687</v>
      </c>
      <c r="AR281" t="s">
        <v>688</v>
      </c>
      <c r="AU281">
        <v>31</v>
      </c>
      <c r="BE281">
        <v>44490.418761574074</v>
      </c>
      <c r="BF281" t="s">
        <v>923</v>
      </c>
    </row>
    <row r="282" spans="1:58" x14ac:dyDescent="0.2">
      <c r="B282" s="3" t="s">
        <v>716</v>
      </c>
      <c r="C282" s="3" t="s">
        <v>120</v>
      </c>
      <c r="D282" s="3" t="s">
        <v>444</v>
      </c>
      <c r="E282" t="str">
        <f t="shared" si="4"/>
        <v>z0061450</v>
      </c>
      <c r="F282" s="3" t="s">
        <v>648</v>
      </c>
      <c r="G282" s="3"/>
      <c r="H282" s="3"/>
      <c r="I282" s="3" t="s">
        <v>1638</v>
      </c>
      <c r="J282" s="3"/>
      <c r="K282" s="3"/>
      <c r="L282" s="3" t="s">
        <v>680</v>
      </c>
      <c r="M282" s="3" t="s">
        <v>681</v>
      </c>
      <c r="N282" s="4">
        <v>23106</v>
      </c>
      <c r="O282" s="4">
        <v>61450</v>
      </c>
      <c r="P282" s="4">
        <v>3</v>
      </c>
      <c r="Q282" s="3" t="s">
        <v>690</v>
      </c>
      <c r="R282" s="4">
        <v>26</v>
      </c>
      <c r="S282" s="4">
        <v>1</v>
      </c>
      <c r="T282" s="4">
        <v>4</v>
      </c>
      <c r="U282" s="3"/>
      <c r="V282" s="3" t="s">
        <v>717</v>
      </c>
      <c r="W282" s="5">
        <v>39063</v>
      </c>
      <c r="X282" s="4">
        <v>2006</v>
      </c>
      <c r="Y282" s="4">
        <v>12</v>
      </c>
      <c r="Z282" s="4">
        <v>12</v>
      </c>
      <c r="AA282" s="3" t="s">
        <v>704</v>
      </c>
      <c r="AC282" t="s">
        <v>1157</v>
      </c>
      <c r="AD282" t="s">
        <v>1158</v>
      </c>
      <c r="AE282" t="s">
        <v>1159</v>
      </c>
      <c r="AF282" s="3" t="s">
        <v>718</v>
      </c>
      <c r="AG282" s="3"/>
      <c r="AH282" s="3"/>
      <c r="AI282" s="3"/>
      <c r="AJ282" s="3" t="s">
        <v>719</v>
      </c>
      <c r="AK282" s="3" t="s">
        <v>685</v>
      </c>
      <c r="AL282" s="3" t="s">
        <v>686</v>
      </c>
      <c r="AM282" s="3" t="s">
        <v>687</v>
      </c>
      <c r="AN282" s="3" t="s">
        <v>687</v>
      </c>
      <c r="AO282" s="3"/>
      <c r="AP282" s="3"/>
      <c r="AQ282" s="3"/>
      <c r="AR282" s="3"/>
      <c r="AS282" s="3"/>
      <c r="AT282" s="3"/>
      <c r="AU282" s="3"/>
      <c r="AV282" s="3"/>
      <c r="AW282" s="3"/>
      <c r="AX282" s="3"/>
      <c r="AY282" s="3"/>
      <c r="AZ282" s="3"/>
      <c r="BA282" s="3"/>
      <c r="BB282" s="3"/>
      <c r="BC282" s="3" t="s">
        <v>714</v>
      </c>
      <c r="BD282" s="3" t="s">
        <v>715</v>
      </c>
    </row>
    <row r="283" spans="1:58" x14ac:dyDescent="0.2">
      <c r="B283" s="3" t="s">
        <v>724</v>
      </c>
      <c r="C283" s="3" t="s">
        <v>123</v>
      </c>
      <c r="D283" s="3" t="s">
        <v>447</v>
      </c>
      <c r="E283" t="str">
        <f t="shared" si="4"/>
        <v>z0061453</v>
      </c>
      <c r="F283" s="3" t="s">
        <v>648</v>
      </c>
      <c r="G283" s="3"/>
      <c r="H283" s="3"/>
      <c r="I283" s="3" t="s">
        <v>1638</v>
      </c>
      <c r="J283" s="3"/>
      <c r="K283" s="3"/>
      <c r="L283" s="3" t="s">
        <v>680</v>
      </c>
      <c r="M283" s="3" t="s">
        <v>681</v>
      </c>
      <c r="N283" s="4">
        <v>23109</v>
      </c>
      <c r="O283" s="4">
        <v>61453</v>
      </c>
      <c r="P283" s="4">
        <v>1</v>
      </c>
      <c r="Q283" s="3" t="s">
        <v>725</v>
      </c>
      <c r="R283" s="4">
        <v>26</v>
      </c>
      <c r="S283" s="4">
        <v>1</v>
      </c>
      <c r="T283" s="4">
        <v>2</v>
      </c>
      <c r="U283" s="3"/>
      <c r="V283" s="3" t="s">
        <v>726</v>
      </c>
      <c r="W283" s="5">
        <v>39059</v>
      </c>
      <c r="X283" s="4">
        <v>2006</v>
      </c>
      <c r="Y283" s="4">
        <v>12</v>
      </c>
      <c r="Z283" s="4">
        <v>8</v>
      </c>
      <c r="AA283" s="3" t="s">
        <v>704</v>
      </c>
      <c r="AC283" t="s">
        <v>1157</v>
      </c>
      <c r="AD283" t="s">
        <v>1158</v>
      </c>
      <c r="AE283" t="s">
        <v>1159</v>
      </c>
      <c r="AF283" s="3" t="s">
        <v>718</v>
      </c>
      <c r="AG283" s="3"/>
      <c r="AH283" s="3"/>
      <c r="AI283" s="3"/>
      <c r="AJ283" s="3" t="s">
        <v>719</v>
      </c>
      <c r="AK283" s="3" t="s">
        <v>685</v>
      </c>
      <c r="AL283" s="3" t="s">
        <v>686</v>
      </c>
      <c r="AM283" s="3" t="s">
        <v>687</v>
      </c>
      <c r="AN283" s="3" t="s">
        <v>687</v>
      </c>
      <c r="AO283" s="3"/>
      <c r="AP283" s="3"/>
      <c r="AQ283" s="3"/>
      <c r="AR283" s="3"/>
      <c r="AS283" s="3"/>
      <c r="AT283" s="3"/>
      <c r="AU283" s="3"/>
      <c r="AV283" s="3"/>
      <c r="AW283" s="3"/>
      <c r="AX283" s="3"/>
      <c r="AY283" s="3"/>
      <c r="AZ283" s="3"/>
      <c r="BA283" s="3"/>
      <c r="BB283" s="3"/>
      <c r="BC283" s="3" t="s">
        <v>714</v>
      </c>
      <c r="BD283" s="3" t="s">
        <v>715</v>
      </c>
    </row>
    <row r="284" spans="1:58" x14ac:dyDescent="0.2">
      <c r="A284">
        <v>1</v>
      </c>
      <c r="C284" t="s">
        <v>1152</v>
      </c>
      <c r="D284" t="s">
        <v>324</v>
      </c>
      <c r="E284" t="str">
        <f t="shared" si="4"/>
        <v>z0006796</v>
      </c>
      <c r="F284" t="s">
        <v>648</v>
      </c>
      <c r="G284" s="6" t="s">
        <v>1153</v>
      </c>
      <c r="H284" t="s">
        <v>1154</v>
      </c>
      <c r="I284" t="s">
        <v>1155</v>
      </c>
      <c r="J284" t="s">
        <v>1156</v>
      </c>
      <c r="K284">
        <v>800</v>
      </c>
      <c r="L284" t="s">
        <v>680</v>
      </c>
      <c r="N284">
        <v>869</v>
      </c>
      <c r="O284">
        <v>6796</v>
      </c>
      <c r="V284" t="s">
        <v>1127</v>
      </c>
      <c r="W284" s="1" t="s">
        <v>888</v>
      </c>
      <c r="AC284" t="s">
        <v>1157</v>
      </c>
      <c r="AD284" t="s">
        <v>1158</v>
      </c>
      <c r="AE284" t="s">
        <v>1159</v>
      </c>
      <c r="AF284" t="s">
        <v>718</v>
      </c>
      <c r="AK284" t="s">
        <v>685</v>
      </c>
      <c r="AL284" t="s">
        <v>686</v>
      </c>
      <c r="AM284" t="s">
        <v>687</v>
      </c>
      <c r="AN284" t="s">
        <v>687</v>
      </c>
      <c r="AR284" t="s">
        <v>688</v>
      </c>
      <c r="AU284">
        <v>12</v>
      </c>
      <c r="BC284" t="s">
        <v>1121</v>
      </c>
      <c r="BE284">
        <v>40500.476446759261</v>
      </c>
      <c r="BF284" t="s">
        <v>923</v>
      </c>
    </row>
    <row r="285" spans="1:58" x14ac:dyDescent="0.2">
      <c r="A285">
        <v>2</v>
      </c>
      <c r="C285" t="s">
        <v>1160</v>
      </c>
      <c r="D285" t="s">
        <v>325</v>
      </c>
      <c r="E285" t="str">
        <f t="shared" si="4"/>
        <v>z0006797</v>
      </c>
      <c r="F285" t="s">
        <v>648</v>
      </c>
      <c r="G285" s="6" t="s">
        <v>1161</v>
      </c>
      <c r="H285" t="s">
        <v>1154</v>
      </c>
      <c r="I285" t="s">
        <v>1155</v>
      </c>
      <c r="J285" t="s">
        <v>1162</v>
      </c>
      <c r="K285">
        <v>791</v>
      </c>
      <c r="L285" t="s">
        <v>680</v>
      </c>
      <c r="N285">
        <v>860</v>
      </c>
      <c r="O285">
        <v>6797</v>
      </c>
      <c r="V285" t="s">
        <v>1118</v>
      </c>
      <c r="W285" s="1" t="s">
        <v>888</v>
      </c>
      <c r="AC285" t="s">
        <v>1157</v>
      </c>
      <c r="AD285" t="s">
        <v>1158</v>
      </c>
      <c r="AE285" t="s">
        <v>1159</v>
      </c>
      <c r="AF285" t="s">
        <v>718</v>
      </c>
      <c r="AK285" t="s">
        <v>685</v>
      </c>
      <c r="AL285" t="s">
        <v>686</v>
      </c>
      <c r="AM285" t="s">
        <v>687</v>
      </c>
      <c r="AN285" t="s">
        <v>687</v>
      </c>
      <c r="AR285" t="s">
        <v>688</v>
      </c>
      <c r="AU285">
        <v>12</v>
      </c>
      <c r="BC285" t="s">
        <v>1117</v>
      </c>
      <c r="BE285">
        <v>40500.476446759261</v>
      </c>
      <c r="BF285" t="s">
        <v>923</v>
      </c>
    </row>
    <row r="286" spans="1:58" x14ac:dyDescent="0.2">
      <c r="A286">
        <v>3</v>
      </c>
      <c r="C286" t="s">
        <v>1163</v>
      </c>
      <c r="D286" t="s">
        <v>326</v>
      </c>
      <c r="E286" t="str">
        <f t="shared" si="4"/>
        <v>z0006798</v>
      </c>
      <c r="F286" t="s">
        <v>648</v>
      </c>
      <c r="G286" s="6" t="s">
        <v>1164</v>
      </c>
      <c r="H286" t="s">
        <v>1154</v>
      </c>
      <c r="I286" t="s">
        <v>1155</v>
      </c>
      <c r="J286" t="s">
        <v>1162</v>
      </c>
      <c r="K286">
        <v>792</v>
      </c>
      <c r="L286" t="s">
        <v>680</v>
      </c>
      <c r="N286">
        <v>861</v>
      </c>
      <c r="O286">
        <v>6798</v>
      </c>
      <c r="V286" t="s">
        <v>1119</v>
      </c>
      <c r="W286" s="1" t="s">
        <v>888</v>
      </c>
      <c r="AC286" t="s">
        <v>1157</v>
      </c>
      <c r="AD286" t="s">
        <v>1158</v>
      </c>
      <c r="AE286" t="s">
        <v>1159</v>
      </c>
      <c r="AF286" t="s">
        <v>718</v>
      </c>
      <c r="AK286" t="s">
        <v>685</v>
      </c>
      <c r="AL286" t="s">
        <v>686</v>
      </c>
      <c r="AM286" t="s">
        <v>687</v>
      </c>
      <c r="AN286" t="s">
        <v>687</v>
      </c>
      <c r="AR286" t="s">
        <v>688</v>
      </c>
      <c r="AU286">
        <v>12</v>
      </c>
      <c r="BC286" t="s">
        <v>1117</v>
      </c>
      <c r="BE286">
        <v>40500.476446759261</v>
      </c>
      <c r="BF286" t="s">
        <v>923</v>
      </c>
    </row>
    <row r="287" spans="1:58" x14ac:dyDescent="0.2">
      <c r="A287">
        <v>4</v>
      </c>
      <c r="C287" t="s">
        <v>1165</v>
      </c>
      <c r="D287" t="s">
        <v>327</v>
      </c>
      <c r="E287" t="str">
        <f t="shared" si="4"/>
        <v>z0006799</v>
      </c>
      <c r="F287" t="s">
        <v>648</v>
      </c>
      <c r="G287" s="6" t="s">
        <v>1166</v>
      </c>
      <c r="H287" t="s">
        <v>1154</v>
      </c>
      <c r="I287" t="s">
        <v>1155</v>
      </c>
      <c r="J287" t="s">
        <v>1162</v>
      </c>
      <c r="K287">
        <v>793</v>
      </c>
      <c r="L287" t="s">
        <v>680</v>
      </c>
      <c r="N287">
        <v>862</v>
      </c>
      <c r="O287">
        <v>6799</v>
      </c>
      <c r="V287" t="s">
        <v>1120</v>
      </c>
      <c r="W287" s="1" t="s">
        <v>888</v>
      </c>
      <c r="AC287" t="s">
        <v>1157</v>
      </c>
      <c r="AD287" t="s">
        <v>1158</v>
      </c>
      <c r="AE287" t="s">
        <v>1159</v>
      </c>
      <c r="AF287" t="s">
        <v>718</v>
      </c>
      <c r="AK287" t="s">
        <v>685</v>
      </c>
      <c r="AL287" t="s">
        <v>686</v>
      </c>
      <c r="AM287" t="s">
        <v>687</v>
      </c>
      <c r="AN287" t="s">
        <v>687</v>
      </c>
      <c r="AR287" t="s">
        <v>688</v>
      </c>
      <c r="AU287">
        <v>12</v>
      </c>
      <c r="BC287" t="s">
        <v>1121</v>
      </c>
      <c r="BE287">
        <v>40500.476446759261</v>
      </c>
      <c r="BF287" t="s">
        <v>923</v>
      </c>
    </row>
    <row r="288" spans="1:58" x14ac:dyDescent="0.2">
      <c r="A288">
        <v>5</v>
      </c>
      <c r="C288" t="s">
        <v>1167</v>
      </c>
      <c r="D288" t="s">
        <v>329</v>
      </c>
      <c r="E288" t="str">
        <f t="shared" si="4"/>
        <v>z0006800</v>
      </c>
      <c r="F288" t="s">
        <v>648</v>
      </c>
      <c r="G288" s="6" t="s">
        <v>1168</v>
      </c>
      <c r="H288" t="s">
        <v>1154</v>
      </c>
      <c r="I288" t="s">
        <v>1155</v>
      </c>
      <c r="J288" t="s">
        <v>1156</v>
      </c>
      <c r="K288">
        <v>794</v>
      </c>
      <c r="L288" t="s">
        <v>680</v>
      </c>
      <c r="N288">
        <v>863</v>
      </c>
      <c r="O288">
        <v>6800</v>
      </c>
      <c r="V288" t="s">
        <v>1122</v>
      </c>
      <c r="W288" s="1" t="s">
        <v>888</v>
      </c>
      <c r="AC288" t="s">
        <v>1157</v>
      </c>
      <c r="AD288" t="s">
        <v>1158</v>
      </c>
      <c r="AE288" t="s">
        <v>1159</v>
      </c>
      <c r="AF288" t="s">
        <v>718</v>
      </c>
      <c r="AK288" t="s">
        <v>685</v>
      </c>
      <c r="AL288" t="s">
        <v>686</v>
      </c>
      <c r="AM288" t="s">
        <v>687</v>
      </c>
      <c r="AN288" t="s">
        <v>687</v>
      </c>
      <c r="AR288" t="s">
        <v>688</v>
      </c>
      <c r="AU288">
        <v>12</v>
      </c>
      <c r="BC288" t="s">
        <v>1123</v>
      </c>
      <c r="BE288">
        <v>40500.476446759261</v>
      </c>
      <c r="BF288" t="s">
        <v>923</v>
      </c>
    </row>
    <row r="289" spans="1:58" x14ac:dyDescent="0.2">
      <c r="A289">
        <v>6</v>
      </c>
      <c r="C289" t="s">
        <v>1169</v>
      </c>
      <c r="D289" t="s">
        <v>330</v>
      </c>
      <c r="E289" t="str">
        <f t="shared" si="4"/>
        <v>z0006801</v>
      </c>
      <c r="F289" t="s">
        <v>648</v>
      </c>
      <c r="G289" s="6" t="s">
        <v>1170</v>
      </c>
      <c r="H289" t="s">
        <v>1154</v>
      </c>
      <c r="I289" t="s">
        <v>1155</v>
      </c>
      <c r="J289" t="s">
        <v>1156</v>
      </c>
      <c r="K289">
        <v>795</v>
      </c>
      <c r="L289" t="s">
        <v>680</v>
      </c>
      <c r="N289">
        <v>864</v>
      </c>
      <c r="O289">
        <v>6801</v>
      </c>
      <c r="V289" t="s">
        <v>1124</v>
      </c>
      <c r="W289" s="1" t="s">
        <v>888</v>
      </c>
      <c r="AC289" t="s">
        <v>1157</v>
      </c>
      <c r="AD289" t="s">
        <v>1158</v>
      </c>
      <c r="AE289" t="s">
        <v>1159</v>
      </c>
      <c r="AF289" t="s">
        <v>718</v>
      </c>
      <c r="AK289" t="s">
        <v>685</v>
      </c>
      <c r="AL289" t="s">
        <v>686</v>
      </c>
      <c r="AM289" t="s">
        <v>687</v>
      </c>
      <c r="AN289" t="s">
        <v>687</v>
      </c>
      <c r="AR289" t="s">
        <v>688</v>
      </c>
      <c r="AU289">
        <v>12</v>
      </c>
      <c r="BC289" t="s">
        <v>1121</v>
      </c>
      <c r="BE289">
        <v>40500.476446759261</v>
      </c>
      <c r="BF289" t="s">
        <v>923</v>
      </c>
    </row>
    <row r="290" spans="1:58" x14ac:dyDescent="0.2">
      <c r="A290">
        <v>7</v>
      </c>
      <c r="C290" t="s">
        <v>1171</v>
      </c>
      <c r="D290" t="s">
        <v>331</v>
      </c>
      <c r="E290" t="str">
        <f t="shared" si="4"/>
        <v>z0006802</v>
      </c>
      <c r="F290" t="s">
        <v>648</v>
      </c>
      <c r="G290" s="6" t="s">
        <v>1172</v>
      </c>
      <c r="H290" t="s">
        <v>1154</v>
      </c>
      <c r="I290" t="s">
        <v>1155</v>
      </c>
      <c r="J290" t="s">
        <v>1162</v>
      </c>
      <c r="K290">
        <v>796</v>
      </c>
      <c r="L290" t="s">
        <v>680</v>
      </c>
      <c r="N290">
        <v>865</v>
      </c>
      <c r="O290">
        <v>6802</v>
      </c>
      <c r="V290" t="s">
        <v>1125</v>
      </c>
      <c r="W290" s="1" t="s">
        <v>888</v>
      </c>
      <c r="AC290" t="s">
        <v>1157</v>
      </c>
      <c r="AD290" t="s">
        <v>1158</v>
      </c>
      <c r="AE290" t="s">
        <v>1159</v>
      </c>
      <c r="AF290" t="s">
        <v>718</v>
      </c>
      <c r="AK290" t="s">
        <v>685</v>
      </c>
      <c r="AL290" t="s">
        <v>686</v>
      </c>
      <c r="AM290" t="s">
        <v>687</v>
      </c>
      <c r="AN290" t="s">
        <v>687</v>
      </c>
      <c r="AR290" t="s">
        <v>688</v>
      </c>
      <c r="AU290">
        <v>12</v>
      </c>
      <c r="BC290" t="s">
        <v>1117</v>
      </c>
      <c r="BE290">
        <v>40500.476446759261</v>
      </c>
      <c r="BF290" t="s">
        <v>923</v>
      </c>
    </row>
    <row r="291" spans="1:58" x14ac:dyDescent="0.2">
      <c r="A291">
        <v>8</v>
      </c>
      <c r="C291" t="s">
        <v>1173</v>
      </c>
      <c r="D291" t="s">
        <v>333</v>
      </c>
      <c r="E291" t="str">
        <f t="shared" si="4"/>
        <v>z0006803</v>
      </c>
      <c r="F291" t="s">
        <v>648</v>
      </c>
      <c r="G291" s="6" t="s">
        <v>1174</v>
      </c>
      <c r="H291" t="s">
        <v>1154</v>
      </c>
      <c r="I291" t="s">
        <v>1155</v>
      </c>
      <c r="J291" t="s">
        <v>1156</v>
      </c>
      <c r="K291">
        <v>797</v>
      </c>
      <c r="L291" t="s">
        <v>680</v>
      </c>
      <c r="N291">
        <v>866</v>
      </c>
      <c r="O291">
        <v>6803</v>
      </c>
      <c r="V291" t="s">
        <v>1126</v>
      </c>
      <c r="W291" s="1" t="s">
        <v>888</v>
      </c>
      <c r="AC291" t="s">
        <v>1157</v>
      </c>
      <c r="AD291" t="s">
        <v>1158</v>
      </c>
      <c r="AE291" t="s">
        <v>1159</v>
      </c>
      <c r="AF291" t="s">
        <v>718</v>
      </c>
      <c r="AK291" t="s">
        <v>685</v>
      </c>
      <c r="AL291" t="s">
        <v>686</v>
      </c>
      <c r="AM291" t="s">
        <v>687</v>
      </c>
      <c r="AN291" t="s">
        <v>687</v>
      </c>
      <c r="AR291" t="s">
        <v>688</v>
      </c>
      <c r="AU291">
        <v>12</v>
      </c>
      <c r="BC291" t="s">
        <v>1117</v>
      </c>
      <c r="BE291">
        <v>40500.476446759261</v>
      </c>
      <c r="BF291" t="s">
        <v>923</v>
      </c>
    </row>
    <row r="292" spans="1:58" x14ac:dyDescent="0.2">
      <c r="A292">
        <v>86</v>
      </c>
      <c r="C292" t="s">
        <v>1344</v>
      </c>
      <c r="D292" t="s">
        <v>454</v>
      </c>
      <c r="E292" t="str">
        <f t="shared" si="4"/>
        <v>z0061467</v>
      </c>
      <c r="F292" t="s">
        <v>648</v>
      </c>
      <c r="G292" s="6" t="s">
        <v>1345</v>
      </c>
      <c r="H292" t="s">
        <v>1154</v>
      </c>
      <c r="I292" t="s">
        <v>1155</v>
      </c>
      <c r="J292" t="s">
        <v>1162</v>
      </c>
      <c r="K292">
        <v>35040</v>
      </c>
      <c r="L292" t="s">
        <v>680</v>
      </c>
      <c r="N292">
        <v>23123</v>
      </c>
      <c r="O292">
        <v>61467</v>
      </c>
      <c r="V292" t="s">
        <v>979</v>
      </c>
      <c r="W292" s="1">
        <v>39057</v>
      </c>
      <c r="X292">
        <v>2006</v>
      </c>
      <c r="Y292">
        <v>12</v>
      </c>
      <c r="Z292">
        <v>6</v>
      </c>
      <c r="AA292" t="s">
        <v>704</v>
      </c>
      <c r="AC292" t="s">
        <v>1157</v>
      </c>
      <c r="AD292" t="s">
        <v>1158</v>
      </c>
      <c r="AE292" t="s">
        <v>1159</v>
      </c>
      <c r="AF292" t="s">
        <v>718</v>
      </c>
      <c r="AJ292" t="s">
        <v>719</v>
      </c>
      <c r="AK292" t="s">
        <v>685</v>
      </c>
      <c r="AL292" t="s">
        <v>686</v>
      </c>
      <c r="AM292" t="s">
        <v>687</v>
      </c>
      <c r="AN292" t="s">
        <v>687</v>
      </c>
      <c r="BC292" t="s">
        <v>980</v>
      </c>
      <c r="BD292" t="s">
        <v>715</v>
      </c>
      <c r="BE292">
        <v>40500.491099537037</v>
      </c>
      <c r="BF292" t="s">
        <v>923</v>
      </c>
    </row>
    <row r="293" spans="1:58" x14ac:dyDescent="0.2">
      <c r="A293">
        <v>87</v>
      </c>
      <c r="C293" t="s">
        <v>1346</v>
      </c>
      <c r="D293" t="s">
        <v>456</v>
      </c>
      <c r="E293" t="str">
        <f t="shared" si="4"/>
        <v>z0061468</v>
      </c>
      <c r="F293" t="s">
        <v>648</v>
      </c>
      <c r="G293" s="6" t="s">
        <v>1347</v>
      </c>
      <c r="H293" t="s">
        <v>1154</v>
      </c>
      <c r="I293" t="s">
        <v>1155</v>
      </c>
      <c r="J293" t="s">
        <v>1156</v>
      </c>
      <c r="K293">
        <v>35041</v>
      </c>
      <c r="L293" t="s">
        <v>680</v>
      </c>
      <c r="N293">
        <v>23124</v>
      </c>
      <c r="O293">
        <v>61468</v>
      </c>
      <c r="V293" t="s">
        <v>981</v>
      </c>
      <c r="W293" s="1">
        <v>39059</v>
      </c>
      <c r="X293">
        <v>2006</v>
      </c>
      <c r="Y293">
        <v>12</v>
      </c>
      <c r="Z293">
        <v>8</v>
      </c>
      <c r="AA293" t="s">
        <v>704</v>
      </c>
      <c r="AC293" t="s">
        <v>1157</v>
      </c>
      <c r="AD293" t="s">
        <v>1158</v>
      </c>
      <c r="AE293" t="s">
        <v>1159</v>
      </c>
      <c r="AF293" t="s">
        <v>718</v>
      </c>
      <c r="AJ293" t="s">
        <v>719</v>
      </c>
      <c r="AK293" t="s">
        <v>685</v>
      </c>
      <c r="AL293" t="s">
        <v>686</v>
      </c>
      <c r="AM293" t="s">
        <v>687</v>
      </c>
      <c r="AN293" t="s">
        <v>687</v>
      </c>
      <c r="BC293" t="s">
        <v>714</v>
      </c>
      <c r="BD293" t="s">
        <v>715</v>
      </c>
      <c r="BE293">
        <v>40500.491099537037</v>
      </c>
      <c r="BF293" t="s">
        <v>923</v>
      </c>
    </row>
    <row r="294" spans="1:58" x14ac:dyDescent="0.2">
      <c r="A294">
        <v>208</v>
      </c>
      <c r="C294" t="s">
        <v>1596</v>
      </c>
      <c r="D294" t="s">
        <v>455</v>
      </c>
      <c r="E294" t="str">
        <f t="shared" si="4"/>
        <v>z0061467</v>
      </c>
      <c r="F294" t="s">
        <v>648</v>
      </c>
      <c r="G294" s="6" t="s">
        <v>1597</v>
      </c>
      <c r="H294" t="s">
        <v>1154</v>
      </c>
      <c r="I294" t="s">
        <v>1155</v>
      </c>
      <c r="J294" t="s">
        <v>1156</v>
      </c>
      <c r="K294">
        <v>35040</v>
      </c>
      <c r="L294" t="s">
        <v>680</v>
      </c>
      <c r="N294">
        <v>23123</v>
      </c>
      <c r="O294">
        <v>61467</v>
      </c>
      <c r="V294" t="s">
        <v>979</v>
      </c>
      <c r="W294" s="1">
        <v>39057</v>
      </c>
      <c r="X294">
        <v>2006</v>
      </c>
      <c r="Y294">
        <v>12</v>
      </c>
      <c r="Z294">
        <v>6</v>
      </c>
      <c r="AA294" t="s">
        <v>704</v>
      </c>
      <c r="AC294" t="s">
        <v>1157</v>
      </c>
      <c r="AD294" t="s">
        <v>1158</v>
      </c>
      <c r="AE294" t="s">
        <v>1159</v>
      </c>
      <c r="AF294" t="s">
        <v>718</v>
      </c>
      <c r="AJ294" t="s">
        <v>719</v>
      </c>
      <c r="AK294" t="s">
        <v>685</v>
      </c>
      <c r="AL294" t="s">
        <v>686</v>
      </c>
      <c r="AM294" t="s">
        <v>687</v>
      </c>
      <c r="AN294" t="s">
        <v>687</v>
      </c>
      <c r="BC294" t="s">
        <v>980</v>
      </c>
      <c r="BD294" t="s">
        <v>715</v>
      </c>
      <c r="BE294">
        <v>40500.491099537037</v>
      </c>
      <c r="BF294" t="s">
        <v>923</v>
      </c>
    </row>
    <row r="295" spans="1:58" x14ac:dyDescent="0.2">
      <c r="A295">
        <v>222</v>
      </c>
      <c r="C295" t="s">
        <v>1624</v>
      </c>
      <c r="D295" t="s">
        <v>328</v>
      </c>
      <c r="E295" t="str">
        <f t="shared" si="4"/>
        <v>z0006799</v>
      </c>
      <c r="F295" t="s">
        <v>648</v>
      </c>
      <c r="G295" s="6" t="s">
        <v>1625</v>
      </c>
      <c r="H295" t="s">
        <v>1154</v>
      </c>
      <c r="I295" t="s">
        <v>1155</v>
      </c>
      <c r="J295" t="s">
        <v>1156</v>
      </c>
      <c r="K295">
        <v>793</v>
      </c>
      <c r="L295" t="s">
        <v>680</v>
      </c>
      <c r="N295">
        <v>862</v>
      </c>
      <c r="O295">
        <v>6799</v>
      </c>
      <c r="V295" t="s">
        <v>1120</v>
      </c>
      <c r="W295" s="1" t="s">
        <v>888</v>
      </c>
      <c r="AC295" t="s">
        <v>1157</v>
      </c>
      <c r="AD295" t="s">
        <v>1158</v>
      </c>
      <c r="AE295" t="s">
        <v>1159</v>
      </c>
      <c r="AF295" t="s">
        <v>718</v>
      </c>
      <c r="AK295" t="s">
        <v>685</v>
      </c>
      <c r="AL295" t="s">
        <v>686</v>
      </c>
      <c r="AM295" t="s">
        <v>687</v>
      </c>
      <c r="AN295" t="s">
        <v>687</v>
      </c>
      <c r="AR295" t="s">
        <v>688</v>
      </c>
      <c r="AU295">
        <v>12</v>
      </c>
      <c r="BC295" t="s">
        <v>1121</v>
      </c>
      <c r="BE295">
        <v>40500.476446759261</v>
      </c>
      <c r="BF295" t="s">
        <v>923</v>
      </c>
    </row>
    <row r="296" spans="1:58" x14ac:dyDescent="0.2">
      <c r="A296">
        <v>223</v>
      </c>
      <c r="C296" t="s">
        <v>1626</v>
      </c>
      <c r="D296" t="s">
        <v>332</v>
      </c>
      <c r="E296" t="str">
        <f t="shared" si="4"/>
        <v>z0006802</v>
      </c>
      <c r="F296" t="s">
        <v>648</v>
      </c>
      <c r="G296" s="6" t="s">
        <v>1627</v>
      </c>
      <c r="H296" t="s">
        <v>1154</v>
      </c>
      <c r="I296" t="s">
        <v>1155</v>
      </c>
      <c r="J296" t="s">
        <v>1156</v>
      </c>
      <c r="K296">
        <v>796</v>
      </c>
      <c r="L296" t="s">
        <v>680</v>
      </c>
      <c r="N296">
        <v>865</v>
      </c>
      <c r="O296">
        <v>6802</v>
      </c>
      <c r="V296" t="s">
        <v>1125</v>
      </c>
      <c r="W296" s="1" t="s">
        <v>888</v>
      </c>
      <c r="AC296" t="s">
        <v>1157</v>
      </c>
      <c r="AD296" t="s">
        <v>1158</v>
      </c>
      <c r="AE296" t="s">
        <v>1159</v>
      </c>
      <c r="AF296" t="s">
        <v>718</v>
      </c>
      <c r="AK296" t="s">
        <v>685</v>
      </c>
      <c r="AL296" t="s">
        <v>686</v>
      </c>
      <c r="AM296" t="s">
        <v>687</v>
      </c>
      <c r="AN296" t="s">
        <v>687</v>
      </c>
      <c r="AR296" t="s">
        <v>688</v>
      </c>
      <c r="AU296">
        <v>12</v>
      </c>
      <c r="BC296" t="s">
        <v>1117</v>
      </c>
      <c r="BE296">
        <v>40500.476446759261</v>
      </c>
      <c r="BF296" t="s">
        <v>923</v>
      </c>
    </row>
    <row r="297" spans="1:58" x14ac:dyDescent="0.2">
      <c r="A297">
        <v>224</v>
      </c>
      <c r="C297" t="s">
        <v>1628</v>
      </c>
      <c r="D297" t="s">
        <v>334</v>
      </c>
      <c r="E297" t="str">
        <f t="shared" si="4"/>
        <v>z0006803</v>
      </c>
      <c r="F297" t="s">
        <v>648</v>
      </c>
      <c r="G297" s="6" t="s">
        <v>1629</v>
      </c>
      <c r="H297" t="s">
        <v>1154</v>
      </c>
      <c r="I297" t="s">
        <v>1155</v>
      </c>
      <c r="J297" t="s">
        <v>1156</v>
      </c>
      <c r="K297">
        <v>797</v>
      </c>
      <c r="L297" t="s">
        <v>680</v>
      </c>
      <c r="N297">
        <v>866</v>
      </c>
      <c r="O297">
        <v>6803</v>
      </c>
      <c r="V297" t="s">
        <v>1126</v>
      </c>
      <c r="W297" s="1" t="s">
        <v>888</v>
      </c>
      <c r="AC297" t="s">
        <v>1157</v>
      </c>
      <c r="AD297" t="s">
        <v>1158</v>
      </c>
      <c r="AE297" t="s">
        <v>1159</v>
      </c>
      <c r="AF297" t="s">
        <v>718</v>
      </c>
      <c r="AK297" t="s">
        <v>685</v>
      </c>
      <c r="AL297" t="s">
        <v>686</v>
      </c>
      <c r="AM297" t="s">
        <v>687</v>
      </c>
      <c r="AN297" t="s">
        <v>687</v>
      </c>
      <c r="AR297" t="s">
        <v>688</v>
      </c>
      <c r="AU297">
        <v>12</v>
      </c>
      <c r="BC297" t="s">
        <v>1117</v>
      </c>
      <c r="BE297">
        <v>40500.476446759261</v>
      </c>
      <c r="BF297" t="s">
        <v>923</v>
      </c>
    </row>
    <row r="298" spans="1:58" x14ac:dyDescent="0.2">
      <c r="B298" s="3" t="s">
        <v>858</v>
      </c>
      <c r="C298" s="3" t="s">
        <v>307</v>
      </c>
      <c r="D298" s="3" t="s">
        <v>631</v>
      </c>
      <c r="E298" t="str">
        <f t="shared" si="4"/>
        <v>z0216932</v>
      </c>
      <c r="F298" s="3" t="s">
        <v>648</v>
      </c>
      <c r="G298" s="3"/>
      <c r="H298" s="3"/>
      <c r="I298" s="3" t="s">
        <v>1638</v>
      </c>
      <c r="J298" s="3"/>
      <c r="K298" s="3"/>
      <c r="L298" s="3" t="s">
        <v>680</v>
      </c>
      <c r="M298" s="3" t="s">
        <v>681</v>
      </c>
      <c r="N298" s="4">
        <v>257131</v>
      </c>
      <c r="O298" s="4">
        <v>216932</v>
      </c>
      <c r="P298" s="4">
        <v>1</v>
      </c>
      <c r="Q298" s="3" t="s">
        <v>690</v>
      </c>
      <c r="R298" s="3"/>
      <c r="S298" s="4">
        <v>1</v>
      </c>
      <c r="T298" s="4">
        <v>0</v>
      </c>
      <c r="U298" s="3"/>
      <c r="V298" s="3" t="s">
        <v>859</v>
      </c>
      <c r="W298" s="5">
        <v>44514</v>
      </c>
      <c r="X298" s="4">
        <v>2021</v>
      </c>
      <c r="Y298" s="4">
        <v>11</v>
      </c>
      <c r="Z298" s="4">
        <v>14</v>
      </c>
      <c r="AA298" s="3" t="s">
        <v>860</v>
      </c>
      <c r="AB298" s="3" t="s">
        <v>861</v>
      </c>
      <c r="AC298" t="s">
        <v>1157</v>
      </c>
      <c r="AD298" t="s">
        <v>1158</v>
      </c>
      <c r="AE298" t="s">
        <v>1159</v>
      </c>
      <c r="AF298" s="3" t="s">
        <v>862</v>
      </c>
      <c r="AK298" s="3" t="s">
        <v>685</v>
      </c>
      <c r="AL298" s="3" t="s">
        <v>686</v>
      </c>
      <c r="AM298" s="3"/>
      <c r="AN298" s="3" t="s">
        <v>687</v>
      </c>
      <c r="AO298" s="3"/>
      <c r="AP298" s="3"/>
      <c r="AQ298" s="3" t="s">
        <v>863</v>
      </c>
      <c r="AR298" s="3"/>
      <c r="AS298" s="3"/>
      <c r="AT298" s="3"/>
      <c r="AU298" s="3"/>
      <c r="AV298" s="3"/>
      <c r="AW298" s="3"/>
      <c r="AX298" s="3"/>
      <c r="AY298" s="3"/>
      <c r="AZ298" s="3"/>
      <c r="BA298" s="3"/>
      <c r="BB298" s="3"/>
      <c r="BC298" s="3" t="s">
        <v>864</v>
      </c>
    </row>
    <row r="299" spans="1:58" x14ac:dyDescent="0.2">
      <c r="B299" s="3" t="s">
        <v>865</v>
      </c>
      <c r="C299" s="3" t="s">
        <v>308</v>
      </c>
      <c r="D299" s="3" t="s">
        <v>632</v>
      </c>
      <c r="E299" t="str">
        <f t="shared" si="4"/>
        <v>z0216933</v>
      </c>
      <c r="F299" s="3" t="s">
        <v>648</v>
      </c>
      <c r="G299" s="3"/>
      <c r="H299" s="3"/>
      <c r="I299" s="3" t="s">
        <v>1638</v>
      </c>
      <c r="J299" s="3"/>
      <c r="K299" s="3"/>
      <c r="L299" s="3" t="s">
        <v>680</v>
      </c>
      <c r="M299" s="3" t="s">
        <v>681</v>
      </c>
      <c r="N299" s="4">
        <v>257132</v>
      </c>
      <c r="O299" s="4">
        <v>216933</v>
      </c>
      <c r="P299" s="4">
        <v>1</v>
      </c>
      <c r="Q299" s="3" t="s">
        <v>690</v>
      </c>
      <c r="R299" s="3"/>
      <c r="S299" s="4">
        <v>1</v>
      </c>
      <c r="T299" s="4">
        <v>0</v>
      </c>
      <c r="U299" s="3"/>
      <c r="V299" s="3" t="s">
        <v>866</v>
      </c>
      <c r="W299" s="5">
        <v>44518</v>
      </c>
      <c r="X299" s="4">
        <v>2021</v>
      </c>
      <c r="Y299" s="4">
        <v>11</v>
      </c>
      <c r="Z299" s="4">
        <v>18</v>
      </c>
      <c r="AA299" s="3" t="s">
        <v>860</v>
      </c>
      <c r="AB299" s="3" t="s">
        <v>861</v>
      </c>
      <c r="AC299" t="s">
        <v>1157</v>
      </c>
      <c r="AD299" t="s">
        <v>1158</v>
      </c>
      <c r="AE299" t="s">
        <v>1159</v>
      </c>
      <c r="AF299" s="3" t="s">
        <v>862</v>
      </c>
      <c r="AK299" s="3" t="s">
        <v>685</v>
      </c>
      <c r="AL299" s="3" t="s">
        <v>686</v>
      </c>
      <c r="AM299" s="3"/>
      <c r="AN299" s="3" t="s">
        <v>687</v>
      </c>
      <c r="AO299" s="3"/>
      <c r="AP299" s="3"/>
      <c r="AQ299" s="3" t="s">
        <v>863</v>
      </c>
      <c r="AR299" s="3"/>
      <c r="AS299" s="3"/>
      <c r="AT299" s="3"/>
      <c r="AU299" s="3"/>
      <c r="AV299" s="3"/>
      <c r="AW299" s="3"/>
      <c r="AX299" s="3"/>
      <c r="AY299" s="3"/>
      <c r="AZ299" s="3"/>
      <c r="BA299" s="3"/>
      <c r="BB299" s="3"/>
      <c r="BC299" s="3" t="s">
        <v>864</v>
      </c>
    </row>
    <row r="300" spans="1:58" x14ac:dyDescent="0.2">
      <c r="B300" s="3" t="s">
        <v>867</v>
      </c>
      <c r="C300" s="3" t="s">
        <v>309</v>
      </c>
      <c r="D300" s="3" t="s">
        <v>633</v>
      </c>
      <c r="E300" t="str">
        <f t="shared" si="4"/>
        <v>z0216934</v>
      </c>
      <c r="F300" s="3" t="s">
        <v>648</v>
      </c>
      <c r="G300" s="3"/>
      <c r="H300" s="3"/>
      <c r="I300" s="3" t="s">
        <v>1638</v>
      </c>
      <c r="J300" s="3"/>
      <c r="K300" s="3"/>
      <c r="L300" s="3" t="s">
        <v>680</v>
      </c>
      <c r="M300" s="3" t="s">
        <v>681</v>
      </c>
      <c r="N300" s="4">
        <v>257133</v>
      </c>
      <c r="O300" s="4">
        <v>216934</v>
      </c>
      <c r="P300" s="4">
        <v>1</v>
      </c>
      <c r="Q300" s="3" t="s">
        <v>692</v>
      </c>
      <c r="R300" s="3"/>
      <c r="S300" s="4">
        <v>1</v>
      </c>
      <c r="T300" s="4">
        <v>0</v>
      </c>
      <c r="U300" s="3"/>
      <c r="V300" s="3" t="s">
        <v>868</v>
      </c>
      <c r="W300" s="5">
        <v>44521</v>
      </c>
      <c r="X300" s="4">
        <v>2021</v>
      </c>
      <c r="Y300" s="4">
        <v>11</v>
      </c>
      <c r="Z300" s="4">
        <v>21</v>
      </c>
      <c r="AA300" s="3" t="s">
        <v>860</v>
      </c>
      <c r="AB300" s="3" t="s">
        <v>861</v>
      </c>
      <c r="AC300" t="s">
        <v>1157</v>
      </c>
      <c r="AD300" t="s">
        <v>1158</v>
      </c>
      <c r="AE300" t="s">
        <v>1159</v>
      </c>
      <c r="AF300" s="3" t="s">
        <v>862</v>
      </c>
      <c r="AK300" s="3" t="s">
        <v>685</v>
      </c>
      <c r="AL300" s="3" t="s">
        <v>686</v>
      </c>
      <c r="AM300" s="3"/>
      <c r="AN300" s="3" t="s">
        <v>687</v>
      </c>
      <c r="AO300" s="3"/>
      <c r="AP300" s="3"/>
      <c r="AQ300" s="3" t="s">
        <v>863</v>
      </c>
      <c r="AR300" s="3"/>
      <c r="AS300" s="3"/>
      <c r="AT300" s="3"/>
      <c r="AU300" s="3"/>
      <c r="AV300" s="3"/>
      <c r="AW300" s="3"/>
      <c r="AX300" s="3"/>
      <c r="AY300" s="3"/>
      <c r="AZ300" s="3"/>
      <c r="BA300" s="3"/>
      <c r="BB300" s="3"/>
      <c r="BC300" s="3" t="s">
        <v>864</v>
      </c>
    </row>
    <row r="301" spans="1:58" x14ac:dyDescent="0.2">
      <c r="B301" s="3" t="s">
        <v>869</v>
      </c>
      <c r="C301" s="3" t="s">
        <v>310</v>
      </c>
      <c r="D301" s="3" t="s">
        <v>634</v>
      </c>
      <c r="E301" t="str">
        <f t="shared" si="4"/>
        <v>z0216935</v>
      </c>
      <c r="F301" s="3" t="s">
        <v>648</v>
      </c>
      <c r="G301" s="3"/>
      <c r="H301" s="3"/>
      <c r="I301" s="3" t="s">
        <v>1638</v>
      </c>
      <c r="J301" s="3"/>
      <c r="K301" s="3"/>
      <c r="L301" s="3" t="s">
        <v>680</v>
      </c>
      <c r="M301" s="3" t="s">
        <v>681</v>
      </c>
      <c r="N301" s="4">
        <v>257134</v>
      </c>
      <c r="O301" s="4">
        <v>216935</v>
      </c>
      <c r="P301" s="4">
        <v>1</v>
      </c>
      <c r="Q301" s="3" t="s">
        <v>690</v>
      </c>
      <c r="R301" s="3"/>
      <c r="S301" s="4">
        <v>1</v>
      </c>
      <c r="T301" s="4">
        <v>0</v>
      </c>
      <c r="U301" s="3"/>
      <c r="V301" s="3" t="s">
        <v>870</v>
      </c>
      <c r="W301" s="5">
        <v>44528</v>
      </c>
      <c r="X301" s="4">
        <v>2021</v>
      </c>
      <c r="Y301" s="4">
        <v>11</v>
      </c>
      <c r="Z301" s="4">
        <v>28</v>
      </c>
      <c r="AA301" s="3" t="s">
        <v>860</v>
      </c>
      <c r="AB301" s="3" t="s">
        <v>861</v>
      </c>
      <c r="AC301" t="s">
        <v>1157</v>
      </c>
      <c r="AD301" t="s">
        <v>1158</v>
      </c>
      <c r="AE301" t="s">
        <v>1159</v>
      </c>
      <c r="AF301" s="3" t="s">
        <v>862</v>
      </c>
      <c r="AK301" s="3" t="s">
        <v>685</v>
      </c>
      <c r="AL301" s="3" t="s">
        <v>686</v>
      </c>
      <c r="AM301" s="3"/>
      <c r="AN301" s="3" t="s">
        <v>687</v>
      </c>
      <c r="AO301" s="3"/>
      <c r="AP301" s="3"/>
      <c r="AQ301" s="3" t="s">
        <v>863</v>
      </c>
      <c r="AR301" s="3"/>
      <c r="AS301" s="3"/>
      <c r="AT301" s="3"/>
      <c r="AU301" s="3"/>
      <c r="AV301" s="3"/>
      <c r="AW301" s="3"/>
      <c r="AX301" s="3"/>
      <c r="AY301" s="3"/>
      <c r="AZ301" s="3"/>
      <c r="BA301" s="3"/>
      <c r="BB301" s="3"/>
      <c r="BC301" s="3" t="s">
        <v>864</v>
      </c>
    </row>
    <row r="302" spans="1:58" x14ac:dyDescent="0.2">
      <c r="B302" s="3" t="s">
        <v>871</v>
      </c>
      <c r="C302" s="3" t="s">
        <v>311</v>
      </c>
      <c r="D302" s="3" t="s">
        <v>635</v>
      </c>
      <c r="E302" t="str">
        <f t="shared" si="4"/>
        <v>z0216936</v>
      </c>
      <c r="F302" s="3" t="s">
        <v>648</v>
      </c>
      <c r="G302" s="3"/>
      <c r="H302" s="3"/>
      <c r="I302" s="3" t="s">
        <v>1638</v>
      </c>
      <c r="J302" s="3"/>
      <c r="K302" s="3"/>
      <c r="L302" s="3" t="s">
        <v>680</v>
      </c>
      <c r="M302" s="3" t="s">
        <v>681</v>
      </c>
      <c r="N302" s="4">
        <v>257135</v>
      </c>
      <c r="O302" s="4">
        <v>216936</v>
      </c>
      <c r="P302" s="4">
        <v>1</v>
      </c>
      <c r="Q302" s="3" t="s">
        <v>872</v>
      </c>
      <c r="R302" s="3"/>
      <c r="S302" s="4">
        <v>1</v>
      </c>
      <c r="T302" s="4">
        <v>0</v>
      </c>
      <c r="U302" s="3"/>
      <c r="V302" s="3" t="s">
        <v>873</v>
      </c>
      <c r="W302" s="5">
        <v>44540</v>
      </c>
      <c r="X302" s="4">
        <v>2021</v>
      </c>
      <c r="Y302" s="4">
        <v>12</v>
      </c>
      <c r="Z302" s="4">
        <v>10</v>
      </c>
      <c r="AA302" s="3" t="s">
        <v>860</v>
      </c>
      <c r="AB302" s="3" t="s">
        <v>861</v>
      </c>
      <c r="AC302" t="s">
        <v>1157</v>
      </c>
      <c r="AD302" t="s">
        <v>1158</v>
      </c>
      <c r="AE302" t="s">
        <v>1159</v>
      </c>
      <c r="AF302" s="3" t="s">
        <v>862</v>
      </c>
      <c r="AK302" s="3" t="s">
        <v>685</v>
      </c>
      <c r="AL302" s="3" t="s">
        <v>686</v>
      </c>
      <c r="AM302" s="3"/>
      <c r="AN302" s="3" t="s">
        <v>687</v>
      </c>
      <c r="AO302" s="3"/>
      <c r="AP302" s="3"/>
      <c r="AQ302" s="3" t="s">
        <v>863</v>
      </c>
      <c r="AR302" s="3"/>
      <c r="AS302" s="3"/>
      <c r="AT302" s="3"/>
      <c r="AU302" s="3"/>
      <c r="AV302" s="3"/>
      <c r="AW302" s="3"/>
      <c r="AX302" s="3"/>
      <c r="AY302" s="3"/>
      <c r="AZ302" s="3"/>
      <c r="BA302" s="3"/>
      <c r="BB302" s="3"/>
      <c r="BC302" s="3" t="s">
        <v>864</v>
      </c>
    </row>
    <row r="303" spans="1:58" x14ac:dyDescent="0.2">
      <c r="B303" s="3" t="s">
        <v>874</v>
      </c>
      <c r="C303" s="3" t="s">
        <v>312</v>
      </c>
      <c r="D303" s="3" t="s">
        <v>636</v>
      </c>
      <c r="E303" t="str">
        <f t="shared" si="4"/>
        <v>z0216937</v>
      </c>
      <c r="F303" s="3" t="s">
        <v>648</v>
      </c>
      <c r="G303" s="3"/>
      <c r="H303" s="3"/>
      <c r="I303" s="3" t="s">
        <v>1638</v>
      </c>
      <c r="J303" s="3"/>
      <c r="K303" s="3"/>
      <c r="L303" s="3" t="s">
        <v>680</v>
      </c>
      <c r="M303" s="3" t="s">
        <v>681</v>
      </c>
      <c r="N303" s="4">
        <v>257136</v>
      </c>
      <c r="O303" s="4">
        <v>216937</v>
      </c>
      <c r="P303" s="4">
        <v>1</v>
      </c>
      <c r="Q303" s="3" t="s">
        <v>690</v>
      </c>
      <c r="R303" s="3"/>
      <c r="S303" s="4">
        <v>1</v>
      </c>
      <c r="T303" s="4">
        <v>0</v>
      </c>
      <c r="U303" s="3"/>
      <c r="V303" s="3" t="s">
        <v>875</v>
      </c>
      <c r="W303" s="5">
        <v>44550</v>
      </c>
      <c r="X303" s="4">
        <v>2021</v>
      </c>
      <c r="Y303" s="4">
        <v>12</v>
      </c>
      <c r="Z303" s="4">
        <v>20</v>
      </c>
      <c r="AA303" s="3" t="s">
        <v>860</v>
      </c>
      <c r="AB303" s="3" t="s">
        <v>861</v>
      </c>
      <c r="AC303" t="s">
        <v>1157</v>
      </c>
      <c r="AD303" t="s">
        <v>1158</v>
      </c>
      <c r="AE303" t="s">
        <v>1159</v>
      </c>
      <c r="AF303" s="3" t="s">
        <v>862</v>
      </c>
      <c r="AK303" s="3" t="s">
        <v>685</v>
      </c>
      <c r="AL303" s="3" t="s">
        <v>686</v>
      </c>
      <c r="AM303" s="3"/>
      <c r="AN303" s="3" t="s">
        <v>687</v>
      </c>
      <c r="AO303" s="3"/>
      <c r="AP303" s="3"/>
      <c r="AQ303" s="3" t="s">
        <v>863</v>
      </c>
      <c r="AR303" s="3"/>
      <c r="AS303" s="3"/>
      <c r="AT303" s="3"/>
      <c r="AU303" s="3"/>
      <c r="AV303" s="3"/>
      <c r="AW303" s="3"/>
      <c r="AX303" s="3"/>
      <c r="AY303" s="3"/>
      <c r="AZ303" s="3"/>
      <c r="BA303" s="3"/>
      <c r="BB303" s="3"/>
      <c r="BC303" s="3" t="s">
        <v>864</v>
      </c>
    </row>
    <row r="304" spans="1:58" x14ac:dyDescent="0.2">
      <c r="B304" s="3" t="s">
        <v>876</v>
      </c>
      <c r="C304" s="3" t="s">
        <v>313</v>
      </c>
      <c r="D304" s="3" t="s">
        <v>637</v>
      </c>
      <c r="E304" t="str">
        <f t="shared" si="4"/>
        <v>z0216938</v>
      </c>
      <c r="F304" s="3" t="s">
        <v>648</v>
      </c>
      <c r="G304" s="3"/>
      <c r="H304" s="3"/>
      <c r="I304" s="3" t="s">
        <v>1638</v>
      </c>
      <c r="J304" s="3"/>
      <c r="K304" s="3"/>
      <c r="L304" s="3" t="s">
        <v>680</v>
      </c>
      <c r="M304" s="3" t="s">
        <v>681</v>
      </c>
      <c r="N304" s="4">
        <v>257137</v>
      </c>
      <c r="O304" s="4">
        <v>216938</v>
      </c>
      <c r="P304" s="4">
        <v>1</v>
      </c>
      <c r="Q304" s="3" t="s">
        <v>872</v>
      </c>
      <c r="R304" s="3"/>
      <c r="S304" s="4">
        <v>1</v>
      </c>
      <c r="T304" s="4">
        <v>0</v>
      </c>
      <c r="U304" s="3"/>
      <c r="V304" s="3" t="s">
        <v>877</v>
      </c>
      <c r="W304" s="5">
        <v>44878</v>
      </c>
      <c r="X304" s="4">
        <v>2022</v>
      </c>
      <c r="Y304" s="4">
        <v>11</v>
      </c>
      <c r="Z304" s="4">
        <v>13</v>
      </c>
      <c r="AA304" s="3" t="s">
        <v>860</v>
      </c>
      <c r="AB304" s="3" t="s">
        <v>861</v>
      </c>
      <c r="AC304" t="s">
        <v>1157</v>
      </c>
      <c r="AD304" t="s">
        <v>1158</v>
      </c>
      <c r="AE304" t="s">
        <v>1159</v>
      </c>
      <c r="AF304" s="3" t="s">
        <v>862</v>
      </c>
      <c r="AK304" s="3" t="s">
        <v>685</v>
      </c>
      <c r="AL304" s="3" t="s">
        <v>686</v>
      </c>
      <c r="AM304" s="3"/>
      <c r="AN304" s="3" t="s">
        <v>687</v>
      </c>
      <c r="AO304" s="3"/>
      <c r="AP304" s="3"/>
      <c r="AQ304" s="3" t="s">
        <v>863</v>
      </c>
      <c r="AR304" s="3"/>
      <c r="AS304" s="3"/>
      <c r="AT304" s="3"/>
      <c r="AU304" s="3"/>
      <c r="AV304" s="3"/>
      <c r="AW304" s="3"/>
      <c r="AX304" s="3"/>
      <c r="AY304" s="3"/>
      <c r="AZ304" s="3"/>
      <c r="BA304" s="3"/>
      <c r="BB304" s="3"/>
      <c r="BC304" s="3" t="s">
        <v>864</v>
      </c>
    </row>
    <row r="305" spans="1:59" x14ac:dyDescent="0.2">
      <c r="B305" s="3" t="s">
        <v>878</v>
      </c>
      <c r="C305" s="3" t="s">
        <v>314</v>
      </c>
      <c r="D305" s="3" t="s">
        <v>638</v>
      </c>
      <c r="E305" t="str">
        <f t="shared" si="4"/>
        <v>z0216939</v>
      </c>
      <c r="F305" s="3" t="s">
        <v>648</v>
      </c>
      <c r="G305" s="3"/>
      <c r="H305" s="3"/>
      <c r="I305" s="3" t="s">
        <v>1638</v>
      </c>
      <c r="J305" s="3"/>
      <c r="K305" s="3"/>
      <c r="L305" s="3" t="s">
        <v>680</v>
      </c>
      <c r="M305" s="3" t="s">
        <v>681</v>
      </c>
      <c r="N305" s="4">
        <v>257138</v>
      </c>
      <c r="O305" s="4">
        <v>216939</v>
      </c>
      <c r="P305" s="4">
        <v>1</v>
      </c>
      <c r="Q305" s="3" t="s">
        <v>690</v>
      </c>
      <c r="R305" s="3"/>
      <c r="S305" s="4">
        <v>1</v>
      </c>
      <c r="T305" s="4">
        <v>0</v>
      </c>
      <c r="U305" s="3"/>
      <c r="V305" s="3" t="s">
        <v>879</v>
      </c>
      <c r="W305" s="5">
        <v>44885</v>
      </c>
      <c r="X305" s="4">
        <v>2022</v>
      </c>
      <c r="Y305" s="4">
        <v>11</v>
      </c>
      <c r="Z305" s="4">
        <v>20</v>
      </c>
      <c r="AA305" s="3" t="s">
        <v>860</v>
      </c>
      <c r="AB305" s="3" t="s">
        <v>861</v>
      </c>
      <c r="AC305" t="s">
        <v>1157</v>
      </c>
      <c r="AD305" t="s">
        <v>1158</v>
      </c>
      <c r="AE305" t="s">
        <v>1159</v>
      </c>
      <c r="AF305" s="3" t="s">
        <v>862</v>
      </c>
      <c r="AK305" s="3" t="s">
        <v>685</v>
      </c>
      <c r="AL305" s="3" t="s">
        <v>686</v>
      </c>
      <c r="AM305" s="3"/>
      <c r="AN305" s="3" t="s">
        <v>687</v>
      </c>
      <c r="AO305" s="3"/>
      <c r="AP305" s="3"/>
      <c r="AQ305" s="3" t="s">
        <v>863</v>
      </c>
      <c r="AR305" s="3"/>
      <c r="AS305" s="3"/>
      <c r="AT305" s="3"/>
      <c r="AU305" s="3"/>
      <c r="AV305" s="3"/>
      <c r="AW305" s="3"/>
      <c r="AX305" s="3"/>
      <c r="AY305" s="3"/>
      <c r="AZ305" s="3"/>
      <c r="BA305" s="3"/>
      <c r="BB305" s="3"/>
      <c r="BC305" s="3" t="s">
        <v>864</v>
      </c>
    </row>
    <row r="306" spans="1:59" x14ac:dyDescent="0.2">
      <c r="B306" s="3" t="s">
        <v>880</v>
      </c>
      <c r="C306" s="3" t="s">
        <v>315</v>
      </c>
      <c r="D306" s="3" t="s">
        <v>639</v>
      </c>
      <c r="E306" t="str">
        <f t="shared" si="4"/>
        <v>z0216940</v>
      </c>
      <c r="F306" s="3" t="s">
        <v>648</v>
      </c>
      <c r="G306" s="3"/>
      <c r="H306" s="3"/>
      <c r="I306" s="3" t="s">
        <v>1638</v>
      </c>
      <c r="J306" s="3"/>
      <c r="K306" s="3"/>
      <c r="L306" s="3" t="s">
        <v>680</v>
      </c>
      <c r="M306" s="3" t="s">
        <v>681</v>
      </c>
      <c r="N306" s="4">
        <v>257139</v>
      </c>
      <c r="O306" s="4">
        <v>216940</v>
      </c>
      <c r="P306" s="4">
        <v>1</v>
      </c>
      <c r="Q306" s="3" t="s">
        <v>690</v>
      </c>
      <c r="R306" s="3"/>
      <c r="S306" s="4">
        <v>1</v>
      </c>
      <c r="T306" s="4">
        <v>0</v>
      </c>
      <c r="U306" s="3"/>
      <c r="V306" s="3" t="s">
        <v>881</v>
      </c>
      <c r="W306" s="5">
        <v>44885</v>
      </c>
      <c r="X306" s="4">
        <v>2022</v>
      </c>
      <c r="Y306" s="4">
        <v>11</v>
      </c>
      <c r="Z306" s="4">
        <v>20</v>
      </c>
      <c r="AA306" s="3" t="s">
        <v>860</v>
      </c>
      <c r="AB306" s="3" t="s">
        <v>861</v>
      </c>
      <c r="AC306" t="s">
        <v>1157</v>
      </c>
      <c r="AD306" t="s">
        <v>1158</v>
      </c>
      <c r="AE306" t="s">
        <v>1159</v>
      </c>
      <c r="AF306" s="3" t="s">
        <v>862</v>
      </c>
      <c r="AK306" s="3" t="s">
        <v>685</v>
      </c>
      <c r="AL306" s="3" t="s">
        <v>686</v>
      </c>
      <c r="AM306" s="3"/>
      <c r="AN306" s="3" t="s">
        <v>687</v>
      </c>
      <c r="AO306" s="3"/>
      <c r="AP306" s="3"/>
      <c r="AQ306" s="3" t="s">
        <v>863</v>
      </c>
      <c r="AR306" s="3"/>
      <c r="AS306" s="3"/>
      <c r="AT306" s="3"/>
      <c r="AU306" s="3"/>
      <c r="AV306" s="3"/>
      <c r="AW306" s="3"/>
      <c r="AX306" s="3"/>
      <c r="AY306" s="3"/>
      <c r="AZ306" s="3"/>
      <c r="BA306" s="3"/>
      <c r="BB306" s="3"/>
      <c r="BC306" s="3" t="s">
        <v>864</v>
      </c>
    </row>
    <row r="307" spans="1:59" x14ac:dyDescent="0.2">
      <c r="B307" s="3" t="s">
        <v>882</v>
      </c>
      <c r="C307" s="3" t="s">
        <v>316</v>
      </c>
      <c r="D307" s="3" t="s">
        <v>640</v>
      </c>
      <c r="E307" t="str">
        <f t="shared" si="4"/>
        <v>z0216941</v>
      </c>
      <c r="F307" s="3" t="s">
        <v>648</v>
      </c>
      <c r="G307" s="3"/>
      <c r="H307" s="3"/>
      <c r="I307" s="3" t="s">
        <v>1638</v>
      </c>
      <c r="J307" s="3"/>
      <c r="K307" s="3"/>
      <c r="L307" s="3" t="s">
        <v>680</v>
      </c>
      <c r="M307" s="3" t="s">
        <v>681</v>
      </c>
      <c r="N307" s="4">
        <v>257140</v>
      </c>
      <c r="O307" s="4">
        <v>216941</v>
      </c>
      <c r="P307" s="4">
        <v>1</v>
      </c>
      <c r="Q307" s="3" t="s">
        <v>690</v>
      </c>
      <c r="R307" s="3"/>
      <c r="S307" s="4">
        <v>1</v>
      </c>
      <c r="T307" s="4">
        <v>0</v>
      </c>
      <c r="U307" s="3"/>
      <c r="V307" s="3" t="s">
        <v>883</v>
      </c>
      <c r="W307" s="5">
        <v>44885</v>
      </c>
      <c r="X307" s="4">
        <v>2022</v>
      </c>
      <c r="Y307" s="4">
        <v>11</v>
      </c>
      <c r="Z307" s="4">
        <v>20</v>
      </c>
      <c r="AA307" s="3" t="s">
        <v>860</v>
      </c>
      <c r="AB307" s="3" t="s">
        <v>861</v>
      </c>
      <c r="AC307" t="s">
        <v>1157</v>
      </c>
      <c r="AD307" t="s">
        <v>1158</v>
      </c>
      <c r="AE307" t="s">
        <v>1159</v>
      </c>
      <c r="AF307" s="3" t="s">
        <v>862</v>
      </c>
      <c r="AK307" s="3" t="s">
        <v>685</v>
      </c>
      <c r="AL307" s="3" t="s">
        <v>686</v>
      </c>
      <c r="AM307" s="3"/>
      <c r="AN307" s="3" t="s">
        <v>687</v>
      </c>
      <c r="AO307" s="3"/>
      <c r="AP307" s="3"/>
      <c r="AQ307" s="3" t="s">
        <v>863</v>
      </c>
      <c r="AR307" s="3"/>
      <c r="AS307" s="3"/>
      <c r="AT307" s="3"/>
      <c r="AU307" s="3"/>
      <c r="AV307" s="3"/>
      <c r="AW307" s="3"/>
      <c r="AX307" s="3"/>
      <c r="AY307" s="3"/>
      <c r="AZ307" s="3"/>
      <c r="BA307" s="3"/>
      <c r="BB307" s="3"/>
      <c r="BC307" s="3" t="s">
        <v>864</v>
      </c>
    </row>
    <row r="308" spans="1:59" x14ac:dyDescent="0.2">
      <c r="B308" s="3" t="s">
        <v>884</v>
      </c>
      <c r="C308" s="3" t="s">
        <v>317</v>
      </c>
      <c r="D308" s="3" t="s">
        <v>641</v>
      </c>
      <c r="E308" t="str">
        <f t="shared" si="4"/>
        <v>z0216942</v>
      </c>
      <c r="F308" s="3" t="s">
        <v>648</v>
      </c>
      <c r="G308" s="3"/>
      <c r="H308" s="3"/>
      <c r="I308" s="3" t="s">
        <v>1638</v>
      </c>
      <c r="J308" s="3"/>
      <c r="K308" s="3"/>
      <c r="L308" s="3" t="s">
        <v>680</v>
      </c>
      <c r="M308" s="3" t="s">
        <v>681</v>
      </c>
      <c r="N308" s="4">
        <v>257141</v>
      </c>
      <c r="O308" s="4">
        <v>216942</v>
      </c>
      <c r="P308" s="4">
        <v>1</v>
      </c>
      <c r="Q308" s="3" t="s">
        <v>690</v>
      </c>
      <c r="R308" s="3"/>
      <c r="S308" s="4">
        <v>1</v>
      </c>
      <c r="T308" s="4">
        <v>0</v>
      </c>
      <c r="U308" s="3"/>
      <c r="V308" s="3" t="s">
        <v>885</v>
      </c>
      <c r="W308" s="5">
        <v>44895</v>
      </c>
      <c r="X308" s="4">
        <v>2022</v>
      </c>
      <c r="Y308" s="4">
        <v>11</v>
      </c>
      <c r="Z308" s="4">
        <v>30</v>
      </c>
      <c r="AA308" s="3" t="s">
        <v>860</v>
      </c>
      <c r="AB308" s="3" t="s">
        <v>861</v>
      </c>
      <c r="AC308" t="s">
        <v>1157</v>
      </c>
      <c r="AD308" t="s">
        <v>1158</v>
      </c>
      <c r="AE308" t="s">
        <v>1159</v>
      </c>
      <c r="AF308" s="3" t="s">
        <v>862</v>
      </c>
      <c r="AK308" s="3" t="s">
        <v>685</v>
      </c>
      <c r="AL308" s="3" t="s">
        <v>686</v>
      </c>
      <c r="AM308" s="3"/>
      <c r="AN308" s="3" t="s">
        <v>687</v>
      </c>
      <c r="AO308" s="3"/>
      <c r="AP308" s="3"/>
      <c r="AQ308" s="3" t="s">
        <v>863</v>
      </c>
      <c r="AR308" s="3"/>
      <c r="AS308" s="3"/>
      <c r="AT308" s="3"/>
      <c r="AU308" s="3"/>
      <c r="AV308" s="3"/>
      <c r="AW308" s="3"/>
      <c r="AX308" s="3"/>
      <c r="AY308" s="3"/>
      <c r="AZ308" s="3"/>
      <c r="BA308" s="3"/>
      <c r="BB308" s="3"/>
      <c r="BC308" s="3" t="s">
        <v>864</v>
      </c>
    </row>
    <row r="309" spans="1:59" x14ac:dyDescent="0.2">
      <c r="A309">
        <v>175</v>
      </c>
      <c r="C309" t="s">
        <v>1530</v>
      </c>
      <c r="D309" t="s">
        <v>630</v>
      </c>
      <c r="E309" t="str">
        <f t="shared" si="4"/>
        <v>z0216931</v>
      </c>
      <c r="F309" t="s">
        <v>648</v>
      </c>
      <c r="G309" s="6" t="s">
        <v>1531</v>
      </c>
      <c r="H309" t="s">
        <v>1154</v>
      </c>
      <c r="I309" t="s">
        <v>1302</v>
      </c>
      <c r="J309" t="s">
        <v>1303</v>
      </c>
      <c r="K309">
        <v>166444</v>
      </c>
      <c r="L309" t="s">
        <v>680</v>
      </c>
      <c r="N309">
        <v>257130</v>
      </c>
      <c r="O309">
        <v>216931</v>
      </c>
      <c r="V309" t="s">
        <v>1086</v>
      </c>
      <c r="W309" s="1">
        <v>44510</v>
      </c>
      <c r="X309">
        <v>2021</v>
      </c>
      <c r="Y309">
        <v>11</v>
      </c>
      <c r="Z309">
        <v>10</v>
      </c>
      <c r="AA309" t="s">
        <v>860</v>
      </c>
      <c r="AB309" t="s">
        <v>861</v>
      </c>
      <c r="AC309" t="s">
        <v>1157</v>
      </c>
      <c r="AD309" t="s">
        <v>1158</v>
      </c>
      <c r="AE309" t="s">
        <v>1159</v>
      </c>
      <c r="AF309" t="s">
        <v>862</v>
      </c>
      <c r="AK309" t="s">
        <v>685</v>
      </c>
      <c r="AL309" t="s">
        <v>686</v>
      </c>
      <c r="AN309" t="s">
        <v>687</v>
      </c>
      <c r="AQ309" t="s">
        <v>863</v>
      </c>
      <c r="AV309">
        <v>161</v>
      </c>
      <c r="BC309" t="s">
        <v>864</v>
      </c>
      <c r="BE309">
        <v>45355.499131944445</v>
      </c>
      <c r="BF309" t="s">
        <v>971</v>
      </c>
      <c r="BG309">
        <v>45355.499131944445</v>
      </c>
    </row>
    <row r="310" spans="1:59" x14ac:dyDescent="0.2">
      <c r="B310" s="3" t="s">
        <v>691</v>
      </c>
      <c r="C310" s="3" t="s">
        <v>39</v>
      </c>
      <c r="D310" s="3" t="s">
        <v>363</v>
      </c>
      <c r="E310" t="str">
        <f t="shared" si="4"/>
        <v>z0012501</v>
      </c>
      <c r="F310" s="3" t="s">
        <v>648</v>
      </c>
      <c r="G310" s="3"/>
      <c r="H310" s="3"/>
      <c r="I310" s="3" t="s">
        <v>1638</v>
      </c>
      <c r="J310" s="3"/>
      <c r="K310" s="3"/>
      <c r="L310" s="3" t="s">
        <v>680</v>
      </c>
      <c r="M310" s="3" t="s">
        <v>681</v>
      </c>
      <c r="N310" s="4">
        <v>2294</v>
      </c>
      <c r="O310" s="4">
        <v>12501</v>
      </c>
      <c r="P310" s="4">
        <v>1</v>
      </c>
      <c r="Q310" s="3" t="s">
        <v>692</v>
      </c>
      <c r="R310" s="4">
        <v>22</v>
      </c>
      <c r="S310" s="4">
        <v>1</v>
      </c>
      <c r="T310" s="4">
        <v>4</v>
      </c>
      <c r="U310" s="3"/>
      <c r="V310" s="4">
        <v>5809</v>
      </c>
      <c r="W310" s="5">
        <v>36138</v>
      </c>
      <c r="X310" s="4">
        <v>1998</v>
      </c>
      <c r="Y310" s="4">
        <v>12</v>
      </c>
      <c r="Z310" s="4">
        <v>9</v>
      </c>
      <c r="AA310" s="3" t="s">
        <v>683</v>
      </c>
      <c r="AC310" t="s">
        <v>1157</v>
      </c>
      <c r="AD310" t="s">
        <v>1158</v>
      </c>
      <c r="AE310" t="s">
        <v>1159</v>
      </c>
      <c r="AF310" s="3" t="s">
        <v>693</v>
      </c>
      <c r="AK310" s="3" t="s">
        <v>685</v>
      </c>
      <c r="AL310" s="3" t="s">
        <v>686</v>
      </c>
      <c r="AM310" s="3" t="s">
        <v>687</v>
      </c>
      <c r="AN310" s="3" t="s">
        <v>687</v>
      </c>
      <c r="AO310" s="3"/>
      <c r="AP310" s="3"/>
      <c r="AQ310" s="3"/>
      <c r="AR310" s="3" t="s">
        <v>688</v>
      </c>
      <c r="AS310" s="3"/>
      <c r="AT310" s="3"/>
      <c r="AU310" s="3"/>
      <c r="AV310" s="3"/>
      <c r="AW310" s="3"/>
      <c r="AX310" s="3"/>
      <c r="AY310" s="3"/>
      <c r="AZ310" s="3"/>
      <c r="BA310" s="3"/>
      <c r="BB310" s="3"/>
      <c r="BC310" s="3"/>
      <c r="BD310" s="3"/>
    </row>
    <row r="311" spans="1:59" x14ac:dyDescent="0.2">
      <c r="B311" s="3" t="s">
        <v>694</v>
      </c>
      <c r="C311" s="3" t="s">
        <v>44</v>
      </c>
      <c r="D311" s="3" t="s">
        <v>368</v>
      </c>
      <c r="E311" t="str">
        <f t="shared" si="4"/>
        <v>z0012506</v>
      </c>
      <c r="F311" s="3" t="s">
        <v>648</v>
      </c>
      <c r="G311" s="3"/>
      <c r="H311" s="3"/>
      <c r="I311" s="3" t="s">
        <v>1638</v>
      </c>
      <c r="J311" s="3"/>
      <c r="K311" s="3"/>
      <c r="L311" s="3" t="s">
        <v>680</v>
      </c>
      <c r="M311" s="3" t="s">
        <v>681</v>
      </c>
      <c r="N311" s="4">
        <v>2299</v>
      </c>
      <c r="O311" s="4">
        <v>12506</v>
      </c>
      <c r="P311" s="4">
        <v>2</v>
      </c>
      <c r="Q311" s="3" t="s">
        <v>690</v>
      </c>
      <c r="R311" s="4">
        <v>14</v>
      </c>
      <c r="S311" s="4">
        <v>1</v>
      </c>
      <c r="T311" s="4">
        <v>4</v>
      </c>
      <c r="U311" s="3"/>
      <c r="V311" s="4">
        <v>9905</v>
      </c>
      <c r="W311" s="5">
        <v>35021</v>
      </c>
      <c r="X311" s="4">
        <v>1995</v>
      </c>
      <c r="Y311" s="4">
        <v>11</v>
      </c>
      <c r="Z311" s="4">
        <v>18</v>
      </c>
      <c r="AA311" s="3" t="s">
        <v>683</v>
      </c>
      <c r="AC311" t="s">
        <v>1157</v>
      </c>
      <c r="AD311" t="s">
        <v>1158</v>
      </c>
      <c r="AE311" t="s">
        <v>1159</v>
      </c>
      <c r="AF311" s="3" t="s">
        <v>693</v>
      </c>
      <c r="AK311" s="3" t="s">
        <v>685</v>
      </c>
      <c r="AL311" s="3" t="s">
        <v>686</v>
      </c>
      <c r="AM311" s="3" t="s">
        <v>687</v>
      </c>
      <c r="AN311" s="3" t="s">
        <v>687</v>
      </c>
      <c r="AO311" s="3"/>
      <c r="AP311" s="3"/>
      <c r="AQ311" s="3"/>
      <c r="AR311" s="3" t="s">
        <v>688</v>
      </c>
      <c r="AS311" s="3"/>
      <c r="AT311" s="3"/>
      <c r="AU311" s="3"/>
      <c r="AV311" s="3"/>
      <c r="AW311" s="3"/>
      <c r="AX311" s="3"/>
      <c r="AY311" s="3"/>
      <c r="AZ311" s="3"/>
      <c r="BA311" s="3"/>
      <c r="BB311" s="3"/>
      <c r="BC311" s="3"/>
      <c r="BD311" s="3"/>
    </row>
    <row r="312" spans="1:59" x14ac:dyDescent="0.2">
      <c r="B312" s="3" t="s">
        <v>695</v>
      </c>
      <c r="C312" s="3" t="s">
        <v>45</v>
      </c>
      <c r="D312" s="3" t="s">
        <v>369</v>
      </c>
      <c r="E312" t="str">
        <f t="shared" si="4"/>
        <v>z0012507</v>
      </c>
      <c r="F312" s="3" t="s">
        <v>648</v>
      </c>
      <c r="G312" s="3"/>
      <c r="H312" s="3"/>
      <c r="I312" s="3" t="s">
        <v>1638</v>
      </c>
      <c r="J312" s="3"/>
      <c r="K312" s="3"/>
      <c r="L312" s="3" t="s">
        <v>680</v>
      </c>
      <c r="M312" s="3" t="s">
        <v>681</v>
      </c>
      <c r="N312" s="4">
        <v>2300</v>
      </c>
      <c r="O312" s="4">
        <v>12507</v>
      </c>
      <c r="P312" s="4">
        <v>2</v>
      </c>
      <c r="Q312" s="3"/>
      <c r="R312" s="4">
        <v>21</v>
      </c>
      <c r="S312" s="4">
        <v>1</v>
      </c>
      <c r="T312" s="4">
        <v>4</v>
      </c>
      <c r="U312" s="3"/>
      <c r="V312" s="4">
        <v>5861</v>
      </c>
      <c r="W312" s="5">
        <v>35023</v>
      </c>
      <c r="X312" s="4">
        <v>1995</v>
      </c>
      <c r="Y312" s="4">
        <v>11</v>
      </c>
      <c r="Z312" s="4">
        <v>20</v>
      </c>
      <c r="AA312" s="3" t="s">
        <v>683</v>
      </c>
      <c r="AC312" t="s">
        <v>1157</v>
      </c>
      <c r="AD312" t="s">
        <v>1158</v>
      </c>
      <c r="AE312" t="s">
        <v>1159</v>
      </c>
      <c r="AF312" s="3" t="s">
        <v>693</v>
      </c>
      <c r="AK312" s="3" t="s">
        <v>685</v>
      </c>
      <c r="AL312" s="3" t="s">
        <v>686</v>
      </c>
      <c r="AM312" s="3" t="s">
        <v>687</v>
      </c>
      <c r="AN312" s="3" t="s">
        <v>687</v>
      </c>
      <c r="AO312" s="3"/>
      <c r="AP312" s="3"/>
      <c r="AQ312" s="3"/>
      <c r="AR312" s="3" t="s">
        <v>688</v>
      </c>
      <c r="AS312" s="3"/>
      <c r="AT312" s="3"/>
      <c r="AU312" s="3"/>
      <c r="AV312" s="3"/>
      <c r="AW312" s="3"/>
      <c r="AX312" s="3"/>
      <c r="AY312" s="3"/>
      <c r="AZ312" s="3"/>
      <c r="BA312" s="3"/>
      <c r="BB312" s="3"/>
      <c r="BC312" s="3"/>
      <c r="BD312" s="3"/>
    </row>
    <row r="313" spans="1:59" x14ac:dyDescent="0.2">
      <c r="B313" s="3" t="s">
        <v>696</v>
      </c>
      <c r="C313" s="3" t="s">
        <v>46</v>
      </c>
      <c r="D313" s="3" t="s">
        <v>370</v>
      </c>
      <c r="E313" t="str">
        <f t="shared" si="4"/>
        <v>z0012508</v>
      </c>
      <c r="F313" s="3" t="s">
        <v>648</v>
      </c>
      <c r="G313" s="3"/>
      <c r="H313" s="3"/>
      <c r="I313" s="3" t="s">
        <v>1638</v>
      </c>
      <c r="J313" s="3"/>
      <c r="K313" s="3"/>
      <c r="L313" s="3" t="s">
        <v>680</v>
      </c>
      <c r="M313" s="3" t="s">
        <v>681</v>
      </c>
      <c r="N313" s="4">
        <v>2301</v>
      </c>
      <c r="O313" s="4">
        <v>12508</v>
      </c>
      <c r="P313" s="4">
        <v>2</v>
      </c>
      <c r="Q313" s="3"/>
      <c r="R313" s="4">
        <v>10</v>
      </c>
      <c r="S313" s="4">
        <v>1</v>
      </c>
      <c r="T313" s="4">
        <v>4</v>
      </c>
      <c r="U313" s="3"/>
      <c r="V313" s="4">
        <v>5858</v>
      </c>
      <c r="W313" s="5">
        <v>35015</v>
      </c>
      <c r="X313" s="4">
        <v>1995</v>
      </c>
      <c r="Y313" s="4">
        <v>11</v>
      </c>
      <c r="Z313" s="4">
        <v>12</v>
      </c>
      <c r="AA313" s="3" t="s">
        <v>683</v>
      </c>
      <c r="AC313" t="s">
        <v>1157</v>
      </c>
      <c r="AD313" t="s">
        <v>1158</v>
      </c>
      <c r="AE313" t="s">
        <v>1159</v>
      </c>
      <c r="AF313" s="3" t="s">
        <v>693</v>
      </c>
      <c r="AK313" s="3" t="s">
        <v>685</v>
      </c>
      <c r="AL313" s="3" t="s">
        <v>686</v>
      </c>
      <c r="AM313" s="3" t="s">
        <v>687</v>
      </c>
      <c r="AN313" s="3" t="s">
        <v>687</v>
      </c>
      <c r="AO313" s="3"/>
      <c r="AP313" s="3"/>
      <c r="AQ313" s="3"/>
      <c r="AR313" s="3" t="s">
        <v>688</v>
      </c>
      <c r="AS313" s="3"/>
      <c r="AT313" s="3"/>
      <c r="AU313" s="3"/>
      <c r="AV313" s="3"/>
      <c r="AW313" s="3"/>
      <c r="AX313" s="3"/>
      <c r="AY313" s="3"/>
      <c r="AZ313" s="3"/>
      <c r="BA313" s="3"/>
      <c r="BB313" s="3"/>
      <c r="BC313" s="3"/>
      <c r="BD313" s="3"/>
    </row>
    <row r="314" spans="1:59" x14ac:dyDescent="0.2">
      <c r="A314">
        <v>19</v>
      </c>
      <c r="C314" t="s">
        <v>1199</v>
      </c>
      <c r="D314" t="s">
        <v>349</v>
      </c>
      <c r="E314" t="str">
        <f t="shared" si="4"/>
        <v>z0012490</v>
      </c>
      <c r="F314" t="s">
        <v>648</v>
      </c>
      <c r="G314" s="6" t="s">
        <v>1200</v>
      </c>
      <c r="H314" t="s">
        <v>1154</v>
      </c>
      <c r="I314" t="s">
        <v>1155</v>
      </c>
      <c r="J314" t="s">
        <v>1156</v>
      </c>
      <c r="K314">
        <v>2215</v>
      </c>
      <c r="L314" t="s">
        <v>680</v>
      </c>
      <c r="N314">
        <v>2283</v>
      </c>
      <c r="O314">
        <v>12490</v>
      </c>
      <c r="V314">
        <v>5795</v>
      </c>
      <c r="W314" s="1">
        <v>36117</v>
      </c>
      <c r="X314">
        <v>1998</v>
      </c>
      <c r="Y314">
        <v>11</v>
      </c>
      <c r="Z314">
        <v>18</v>
      </c>
      <c r="AA314" t="s">
        <v>683</v>
      </c>
      <c r="AC314" t="s">
        <v>1157</v>
      </c>
      <c r="AD314" t="s">
        <v>1158</v>
      </c>
      <c r="AE314" t="s">
        <v>1159</v>
      </c>
      <c r="AF314" t="s">
        <v>693</v>
      </c>
      <c r="AK314" t="s">
        <v>685</v>
      </c>
      <c r="AL314" t="s">
        <v>686</v>
      </c>
      <c r="AM314" t="s">
        <v>687</v>
      </c>
      <c r="AN314" t="s">
        <v>687</v>
      </c>
      <c r="AR314" t="s">
        <v>688</v>
      </c>
      <c r="AU314">
        <v>30</v>
      </c>
      <c r="BE314">
        <v>44490.641574074078</v>
      </c>
      <c r="BF314" t="s">
        <v>923</v>
      </c>
    </row>
    <row r="315" spans="1:59" x14ac:dyDescent="0.2">
      <c r="A315">
        <v>29</v>
      </c>
      <c r="C315" t="s">
        <v>1219</v>
      </c>
      <c r="D315" t="s">
        <v>364</v>
      </c>
      <c r="E315" t="str">
        <f t="shared" si="4"/>
        <v>z0012502</v>
      </c>
      <c r="F315" t="s">
        <v>648</v>
      </c>
      <c r="G315" s="6" t="s">
        <v>1220</v>
      </c>
      <c r="H315" t="s">
        <v>1154</v>
      </c>
      <c r="I315" t="s">
        <v>1155</v>
      </c>
      <c r="J315" t="s">
        <v>1156</v>
      </c>
      <c r="K315">
        <v>2227</v>
      </c>
      <c r="L315" t="s">
        <v>680</v>
      </c>
      <c r="N315">
        <v>2295</v>
      </c>
      <c r="O315">
        <v>12502</v>
      </c>
      <c r="V315">
        <v>5796</v>
      </c>
      <c r="W315" s="1">
        <v>35016</v>
      </c>
      <c r="X315">
        <v>1995</v>
      </c>
      <c r="Y315">
        <v>11</v>
      </c>
      <c r="Z315">
        <v>13</v>
      </c>
      <c r="AA315" t="s">
        <v>683</v>
      </c>
      <c r="AC315" t="s">
        <v>1157</v>
      </c>
      <c r="AD315" t="s">
        <v>1158</v>
      </c>
      <c r="AE315" t="s">
        <v>1159</v>
      </c>
      <c r="AF315" t="s">
        <v>693</v>
      </c>
      <c r="AK315" t="s">
        <v>685</v>
      </c>
      <c r="AL315" t="s">
        <v>686</v>
      </c>
      <c r="AM315" t="s">
        <v>687</v>
      </c>
      <c r="AN315" t="s">
        <v>687</v>
      </c>
      <c r="AR315" t="s">
        <v>688</v>
      </c>
      <c r="AU315">
        <v>30</v>
      </c>
      <c r="BE315">
        <v>44490.641574074078</v>
      </c>
      <c r="BF315" t="s">
        <v>923</v>
      </c>
    </row>
    <row r="316" spans="1:59" x14ac:dyDescent="0.2">
      <c r="A316">
        <v>32</v>
      </c>
      <c r="C316" t="s">
        <v>1225</v>
      </c>
      <c r="D316" t="s">
        <v>367</v>
      </c>
      <c r="E316" t="str">
        <f t="shared" si="4"/>
        <v>z0012505</v>
      </c>
      <c r="F316" t="s">
        <v>648</v>
      </c>
      <c r="G316" s="6" t="s">
        <v>1226</v>
      </c>
      <c r="H316" t="s">
        <v>1154</v>
      </c>
      <c r="I316" t="s">
        <v>1155</v>
      </c>
      <c r="J316" t="s">
        <v>1162</v>
      </c>
      <c r="K316">
        <v>2230</v>
      </c>
      <c r="L316" t="s">
        <v>680</v>
      </c>
      <c r="N316">
        <v>2298</v>
      </c>
      <c r="O316">
        <v>12505</v>
      </c>
      <c r="V316">
        <v>9906</v>
      </c>
      <c r="W316" s="1">
        <v>35019</v>
      </c>
      <c r="X316">
        <v>1995</v>
      </c>
      <c r="Y316">
        <v>11</v>
      </c>
      <c r="Z316">
        <v>16</v>
      </c>
      <c r="AA316" t="s">
        <v>683</v>
      </c>
      <c r="AC316" t="s">
        <v>1157</v>
      </c>
      <c r="AD316" t="s">
        <v>1158</v>
      </c>
      <c r="AE316" t="s">
        <v>1159</v>
      </c>
      <c r="AF316" t="s">
        <v>693</v>
      </c>
      <c r="AK316" t="s">
        <v>685</v>
      </c>
      <c r="AL316" t="s">
        <v>686</v>
      </c>
      <c r="AM316" t="s">
        <v>687</v>
      </c>
      <c r="AN316" t="s">
        <v>687</v>
      </c>
      <c r="AR316" t="s">
        <v>688</v>
      </c>
      <c r="AU316">
        <v>31</v>
      </c>
      <c r="BE316">
        <v>44490.641574074078</v>
      </c>
      <c r="BF316" t="s">
        <v>923</v>
      </c>
    </row>
    <row r="317" spans="1:59" x14ac:dyDescent="0.2">
      <c r="A317">
        <v>33</v>
      </c>
      <c r="C317" t="s">
        <v>1227</v>
      </c>
      <c r="D317" t="s">
        <v>371</v>
      </c>
      <c r="E317" t="str">
        <f t="shared" si="4"/>
        <v>z0012509</v>
      </c>
      <c r="F317" t="s">
        <v>648</v>
      </c>
      <c r="G317" s="6" t="s">
        <v>1228</v>
      </c>
      <c r="H317" t="s">
        <v>1154</v>
      </c>
      <c r="I317" t="s">
        <v>1155</v>
      </c>
      <c r="J317" t="s">
        <v>1156</v>
      </c>
      <c r="K317">
        <v>2234</v>
      </c>
      <c r="L317" t="s">
        <v>680</v>
      </c>
      <c r="N317">
        <v>2302</v>
      </c>
      <c r="O317">
        <v>12509</v>
      </c>
      <c r="V317">
        <v>5855</v>
      </c>
      <c r="W317" s="1">
        <v>35028</v>
      </c>
      <c r="X317">
        <v>1995</v>
      </c>
      <c r="Y317">
        <v>11</v>
      </c>
      <c r="Z317">
        <v>25</v>
      </c>
      <c r="AA317" t="s">
        <v>683</v>
      </c>
      <c r="AC317" t="s">
        <v>1157</v>
      </c>
      <c r="AD317" t="s">
        <v>1158</v>
      </c>
      <c r="AE317" t="s">
        <v>1159</v>
      </c>
      <c r="AF317" t="s">
        <v>693</v>
      </c>
      <c r="AK317" t="s">
        <v>685</v>
      </c>
      <c r="AL317" t="s">
        <v>686</v>
      </c>
      <c r="AM317" t="s">
        <v>687</v>
      </c>
      <c r="AN317" t="s">
        <v>687</v>
      </c>
      <c r="AR317" t="s">
        <v>688</v>
      </c>
      <c r="AU317">
        <v>31</v>
      </c>
      <c r="BE317">
        <v>44490.641574074078</v>
      </c>
      <c r="BF317" t="s">
        <v>923</v>
      </c>
    </row>
    <row r="318" spans="1:59" x14ac:dyDescent="0.2">
      <c r="A318">
        <v>46</v>
      </c>
      <c r="C318" t="s">
        <v>1253</v>
      </c>
      <c r="D318" t="s">
        <v>394</v>
      </c>
      <c r="E318" t="str">
        <f t="shared" si="4"/>
        <v>z0012527</v>
      </c>
      <c r="F318" t="s">
        <v>648</v>
      </c>
      <c r="G318" s="6" t="s">
        <v>1254</v>
      </c>
      <c r="H318" t="s">
        <v>1154</v>
      </c>
      <c r="I318" t="s">
        <v>1155</v>
      </c>
      <c r="J318" t="s">
        <v>1162</v>
      </c>
      <c r="K318">
        <v>2252</v>
      </c>
      <c r="L318" t="s">
        <v>680</v>
      </c>
      <c r="N318">
        <v>2320</v>
      </c>
      <c r="O318">
        <v>12527</v>
      </c>
      <c r="V318">
        <v>9907</v>
      </c>
      <c r="W318" s="1">
        <v>35014</v>
      </c>
      <c r="X318">
        <v>1995</v>
      </c>
      <c r="Y318">
        <v>11</v>
      </c>
      <c r="Z318">
        <v>11</v>
      </c>
      <c r="AA318" t="s">
        <v>683</v>
      </c>
      <c r="AC318" t="s">
        <v>1157</v>
      </c>
      <c r="AD318" t="s">
        <v>1158</v>
      </c>
      <c r="AE318" t="s">
        <v>1159</v>
      </c>
      <c r="AF318" t="s">
        <v>693</v>
      </c>
      <c r="AK318" t="s">
        <v>685</v>
      </c>
      <c r="AL318" t="s">
        <v>686</v>
      </c>
      <c r="AM318" t="s">
        <v>687</v>
      </c>
      <c r="AN318" t="s">
        <v>687</v>
      </c>
      <c r="AR318" t="s">
        <v>688</v>
      </c>
      <c r="AU318">
        <v>31</v>
      </c>
      <c r="BE318">
        <v>44490.641574074078</v>
      </c>
      <c r="BF318" t="s">
        <v>923</v>
      </c>
    </row>
    <row r="319" spans="1:59" x14ac:dyDescent="0.2">
      <c r="A319">
        <v>187</v>
      </c>
      <c r="C319" t="s">
        <v>1554</v>
      </c>
      <c r="D319" t="s">
        <v>372</v>
      </c>
      <c r="E319" t="str">
        <f t="shared" si="4"/>
        <v>z0012509</v>
      </c>
      <c r="F319" t="s">
        <v>648</v>
      </c>
      <c r="G319" s="6" t="s">
        <v>1555</v>
      </c>
      <c r="H319" t="s">
        <v>1154</v>
      </c>
      <c r="I319" t="s">
        <v>1155</v>
      </c>
      <c r="J319" t="s">
        <v>1156</v>
      </c>
      <c r="K319">
        <v>2234</v>
      </c>
      <c r="L319" t="s">
        <v>680</v>
      </c>
      <c r="N319">
        <v>2302</v>
      </c>
      <c r="O319">
        <v>12509</v>
      </c>
      <c r="V319">
        <v>5855</v>
      </c>
      <c r="W319" s="1">
        <v>35028</v>
      </c>
      <c r="X319">
        <v>1995</v>
      </c>
      <c r="Y319">
        <v>11</v>
      </c>
      <c r="Z319">
        <v>25</v>
      </c>
      <c r="AA319" t="s">
        <v>683</v>
      </c>
      <c r="AC319" t="s">
        <v>1157</v>
      </c>
      <c r="AD319" t="s">
        <v>1158</v>
      </c>
      <c r="AE319" t="s">
        <v>1159</v>
      </c>
      <c r="AF319" t="s">
        <v>693</v>
      </c>
      <c r="AK319" t="s">
        <v>685</v>
      </c>
      <c r="AL319" t="s">
        <v>686</v>
      </c>
      <c r="AM319" t="s">
        <v>687</v>
      </c>
      <c r="AN319" t="s">
        <v>687</v>
      </c>
      <c r="AR319" t="s">
        <v>688</v>
      </c>
      <c r="AU319">
        <v>31</v>
      </c>
      <c r="BE319">
        <v>44490.641574074078</v>
      </c>
      <c r="BF319" t="s">
        <v>923</v>
      </c>
    </row>
    <row r="320" spans="1:59" x14ac:dyDescent="0.2">
      <c r="A320">
        <v>188</v>
      </c>
      <c r="C320" t="s">
        <v>1556</v>
      </c>
      <c r="D320" t="s">
        <v>373</v>
      </c>
      <c r="E320" t="str">
        <f t="shared" si="4"/>
        <v>z0012509</v>
      </c>
      <c r="F320" t="s">
        <v>648</v>
      </c>
      <c r="G320" s="6" t="s">
        <v>1557</v>
      </c>
      <c r="H320" t="s">
        <v>1154</v>
      </c>
      <c r="I320" t="s">
        <v>1155</v>
      </c>
      <c r="J320" t="s">
        <v>1156</v>
      </c>
      <c r="K320">
        <v>2234</v>
      </c>
      <c r="L320" t="s">
        <v>680</v>
      </c>
      <c r="N320">
        <v>2302</v>
      </c>
      <c r="O320">
        <v>12509</v>
      </c>
      <c r="V320">
        <v>5855</v>
      </c>
      <c r="W320" s="1">
        <v>35028</v>
      </c>
      <c r="X320">
        <v>1995</v>
      </c>
      <c r="Y320">
        <v>11</v>
      </c>
      <c r="Z320">
        <v>25</v>
      </c>
      <c r="AA320" t="s">
        <v>683</v>
      </c>
      <c r="AC320" t="s">
        <v>1157</v>
      </c>
      <c r="AD320" t="s">
        <v>1158</v>
      </c>
      <c r="AE320" t="s">
        <v>1159</v>
      </c>
      <c r="AF320" t="s">
        <v>693</v>
      </c>
      <c r="AK320" t="s">
        <v>685</v>
      </c>
      <c r="AL320" t="s">
        <v>686</v>
      </c>
      <c r="AM320" t="s">
        <v>687</v>
      </c>
      <c r="AN320" t="s">
        <v>687</v>
      </c>
      <c r="AR320" t="s">
        <v>688</v>
      </c>
      <c r="AU320">
        <v>31</v>
      </c>
      <c r="BE320">
        <v>44490.641574074078</v>
      </c>
      <c r="BF320" t="s">
        <v>923</v>
      </c>
    </row>
    <row r="321" spans="1:58" x14ac:dyDescent="0.2">
      <c r="A321">
        <v>193</v>
      </c>
      <c r="C321" t="s">
        <v>1566</v>
      </c>
      <c r="D321" t="s">
        <v>395</v>
      </c>
      <c r="E321" t="str">
        <f t="shared" si="4"/>
        <v>z0012527</v>
      </c>
      <c r="F321" t="s">
        <v>648</v>
      </c>
      <c r="G321" s="6" t="s">
        <v>1567</v>
      </c>
      <c r="H321" t="s">
        <v>1154</v>
      </c>
      <c r="I321" t="s">
        <v>1155</v>
      </c>
      <c r="J321" t="s">
        <v>1156</v>
      </c>
      <c r="K321">
        <v>2252</v>
      </c>
      <c r="L321" t="s">
        <v>680</v>
      </c>
      <c r="N321">
        <v>2320</v>
      </c>
      <c r="O321">
        <v>12527</v>
      </c>
      <c r="V321">
        <v>9907</v>
      </c>
      <c r="W321" s="1">
        <v>35014</v>
      </c>
      <c r="X321">
        <v>1995</v>
      </c>
      <c r="Y321">
        <v>11</v>
      </c>
      <c r="Z321">
        <v>11</v>
      </c>
      <c r="AA321" t="s">
        <v>683</v>
      </c>
      <c r="AC321" t="s">
        <v>1157</v>
      </c>
      <c r="AD321" t="s">
        <v>1158</v>
      </c>
      <c r="AE321" t="s">
        <v>1159</v>
      </c>
      <c r="AF321" t="s">
        <v>693</v>
      </c>
      <c r="AK321" t="s">
        <v>685</v>
      </c>
      <c r="AL321" t="s">
        <v>686</v>
      </c>
      <c r="AM321" t="s">
        <v>687</v>
      </c>
      <c r="AN321" t="s">
        <v>687</v>
      </c>
      <c r="AR321" t="s">
        <v>688</v>
      </c>
      <c r="AU321">
        <v>31</v>
      </c>
      <c r="BE321">
        <v>44490.641574074078</v>
      </c>
      <c r="BF321" t="s">
        <v>923</v>
      </c>
    </row>
    <row r="322" spans="1:58" x14ac:dyDescent="0.2">
      <c r="A322">
        <v>85</v>
      </c>
      <c r="C322" t="s">
        <v>1342</v>
      </c>
      <c r="D322" t="s">
        <v>453</v>
      </c>
      <c r="E322" t="str">
        <f t="shared" ref="E322:E325" si="5">LEFT(D322, 8)</f>
        <v>z0061464</v>
      </c>
      <c r="F322" t="s">
        <v>648</v>
      </c>
      <c r="G322" s="6" t="s">
        <v>1343</v>
      </c>
      <c r="H322" t="s">
        <v>1154</v>
      </c>
      <c r="I322" t="s">
        <v>1155</v>
      </c>
      <c r="J322" t="s">
        <v>1162</v>
      </c>
      <c r="K322">
        <v>35037</v>
      </c>
      <c r="L322" t="s">
        <v>680</v>
      </c>
      <c r="N322">
        <v>23120</v>
      </c>
      <c r="O322">
        <v>61464</v>
      </c>
      <c r="V322" t="s">
        <v>1140</v>
      </c>
      <c r="W322" s="1" t="s">
        <v>713</v>
      </c>
      <c r="X322">
        <v>2006</v>
      </c>
      <c r="Y322">
        <v>12</v>
      </c>
      <c r="AA322" t="s">
        <v>704</v>
      </c>
      <c r="AC322" t="s">
        <v>1157</v>
      </c>
      <c r="AD322" t="s">
        <v>1158</v>
      </c>
      <c r="AK322" t="s">
        <v>685</v>
      </c>
      <c r="AL322" t="s">
        <v>686</v>
      </c>
      <c r="AM322" t="s">
        <v>687</v>
      </c>
      <c r="AN322" t="s">
        <v>687</v>
      </c>
      <c r="BC322" t="s">
        <v>714</v>
      </c>
      <c r="BD322" t="s">
        <v>715</v>
      </c>
      <c r="BE322">
        <v>40500.491099537037</v>
      </c>
      <c r="BF322" t="s">
        <v>923</v>
      </c>
    </row>
    <row r="323" spans="1:58" x14ac:dyDescent="0.2">
      <c r="B323" s="3" t="s">
        <v>711</v>
      </c>
      <c r="C323" s="3" t="s">
        <v>119</v>
      </c>
      <c r="D323" s="3" t="s">
        <v>443</v>
      </c>
      <c r="E323" t="str">
        <f t="shared" si="5"/>
        <v>z0061449</v>
      </c>
      <c r="F323" s="3" t="s">
        <v>648</v>
      </c>
      <c r="G323" s="3"/>
      <c r="H323" s="3"/>
      <c r="I323" s="3" t="s">
        <v>1638</v>
      </c>
      <c r="J323" s="3"/>
      <c r="K323" s="3"/>
      <c r="L323" s="3" t="s">
        <v>680</v>
      </c>
      <c r="M323" s="3" t="s">
        <v>681</v>
      </c>
      <c r="N323" s="4">
        <v>23105</v>
      </c>
      <c r="O323" s="4">
        <v>61449</v>
      </c>
      <c r="P323" s="4">
        <v>2</v>
      </c>
      <c r="Q323" s="3" t="s">
        <v>690</v>
      </c>
      <c r="R323" s="4">
        <v>30</v>
      </c>
      <c r="S323" s="4">
        <v>1</v>
      </c>
      <c r="T323" s="4">
        <v>4</v>
      </c>
      <c r="U323" s="3"/>
      <c r="V323" s="3" t="s">
        <v>712</v>
      </c>
      <c r="W323" s="3" t="s">
        <v>713</v>
      </c>
      <c r="X323" s="4">
        <v>2006</v>
      </c>
      <c r="Y323" s="4">
        <v>12</v>
      </c>
      <c r="Z323" s="3"/>
      <c r="AA323" s="3" t="s">
        <v>704</v>
      </c>
      <c r="AC323" t="s">
        <v>1157</v>
      </c>
      <c r="AD323" t="s">
        <v>1158</v>
      </c>
      <c r="AF323" s="3"/>
      <c r="AG323" s="3"/>
      <c r="AH323" s="3"/>
      <c r="AI323" s="3"/>
      <c r="AJ323" s="3"/>
      <c r="AK323" s="3" t="s">
        <v>685</v>
      </c>
      <c r="AL323" s="3" t="s">
        <v>686</v>
      </c>
      <c r="AM323" s="3" t="s">
        <v>687</v>
      </c>
      <c r="AN323" s="3" t="s">
        <v>687</v>
      </c>
      <c r="AO323" s="3"/>
      <c r="AP323" s="3"/>
      <c r="AQ323" s="3"/>
      <c r="AR323" s="3"/>
      <c r="AS323" s="3"/>
      <c r="AT323" s="3"/>
      <c r="AU323" s="3"/>
      <c r="AV323" s="3"/>
      <c r="AW323" s="3"/>
      <c r="AX323" s="3"/>
      <c r="AY323" s="3"/>
      <c r="AZ323" s="3"/>
      <c r="BA323" s="3"/>
      <c r="BB323" s="3"/>
      <c r="BC323" s="3" t="s">
        <v>714</v>
      </c>
      <c r="BD323" s="3" t="s">
        <v>715</v>
      </c>
    </row>
    <row r="324" spans="1:58" x14ac:dyDescent="0.2">
      <c r="B324" s="3" t="s">
        <v>727</v>
      </c>
      <c r="C324" s="3" t="s">
        <v>124</v>
      </c>
      <c r="D324" s="3" t="s">
        <v>448</v>
      </c>
      <c r="E324" t="str">
        <f t="shared" si="5"/>
        <v>z0061455</v>
      </c>
      <c r="F324" s="3" t="s">
        <v>648</v>
      </c>
      <c r="G324" s="3"/>
      <c r="H324" s="3"/>
      <c r="I324" s="3" t="s">
        <v>1638</v>
      </c>
      <c r="J324" s="3"/>
      <c r="K324" s="3"/>
      <c r="L324" s="3" t="s">
        <v>680</v>
      </c>
      <c r="M324" s="3" t="s">
        <v>681</v>
      </c>
      <c r="N324" s="4">
        <v>23108</v>
      </c>
      <c r="O324" s="4">
        <v>61455</v>
      </c>
      <c r="P324" s="4">
        <v>3</v>
      </c>
      <c r="Q324" s="3" t="s">
        <v>690</v>
      </c>
      <c r="R324" s="4">
        <v>30</v>
      </c>
      <c r="S324" s="4">
        <v>1</v>
      </c>
      <c r="T324" s="4">
        <v>2</v>
      </c>
      <c r="U324" s="4">
        <v>10.72</v>
      </c>
      <c r="V324" s="3" t="s">
        <v>728</v>
      </c>
      <c r="W324" s="5">
        <v>39060</v>
      </c>
      <c r="X324" s="4">
        <v>2006</v>
      </c>
      <c r="Y324" s="4">
        <v>12</v>
      </c>
      <c r="Z324" s="4">
        <v>9</v>
      </c>
      <c r="AA324" s="3" t="s">
        <v>704</v>
      </c>
      <c r="AC324" t="s">
        <v>1157</v>
      </c>
      <c r="AD324" t="s">
        <v>1158</v>
      </c>
      <c r="AF324" s="3"/>
      <c r="AG324" s="3"/>
      <c r="AH324" s="3"/>
      <c r="AI324" s="3"/>
      <c r="AJ324" s="3"/>
      <c r="AK324" s="3" t="s">
        <v>685</v>
      </c>
      <c r="AL324" s="3" t="s">
        <v>686</v>
      </c>
      <c r="AM324" s="3" t="s">
        <v>687</v>
      </c>
      <c r="AN324" s="3" t="s">
        <v>687</v>
      </c>
      <c r="AO324" s="3"/>
      <c r="AP324" s="3"/>
      <c r="AQ324" s="3"/>
      <c r="AR324" s="3"/>
      <c r="AS324" s="3"/>
      <c r="AT324" s="3"/>
      <c r="AU324" s="3"/>
      <c r="AV324" s="3"/>
      <c r="AW324" s="3"/>
      <c r="AX324" s="3"/>
      <c r="AY324" s="3"/>
      <c r="AZ324" s="3"/>
      <c r="BA324" s="3"/>
      <c r="BB324" s="3"/>
      <c r="BC324" s="3" t="s">
        <v>729</v>
      </c>
      <c r="BD324" s="3" t="s">
        <v>715</v>
      </c>
    </row>
    <row r="325" spans="1:58" x14ac:dyDescent="0.2">
      <c r="B325" s="3" t="s">
        <v>732</v>
      </c>
      <c r="C325" s="3" t="s">
        <v>127</v>
      </c>
      <c r="D325" s="3" t="s">
        <v>451</v>
      </c>
      <c r="E325" t="str">
        <f t="shared" si="5"/>
        <v>z0061461</v>
      </c>
      <c r="F325" s="3" t="s">
        <v>648</v>
      </c>
      <c r="G325" s="3"/>
      <c r="H325" s="3"/>
      <c r="I325" s="3" t="s">
        <v>1638</v>
      </c>
      <c r="J325" s="3"/>
      <c r="K325" s="3"/>
      <c r="L325" s="3" t="s">
        <v>680</v>
      </c>
      <c r="M325" s="3" t="s">
        <v>681</v>
      </c>
      <c r="N325" s="4">
        <v>23117</v>
      </c>
      <c r="O325" s="4">
        <v>61461</v>
      </c>
      <c r="P325" s="4">
        <v>3</v>
      </c>
      <c r="Q325" s="3" t="s">
        <v>690</v>
      </c>
      <c r="R325" s="4">
        <v>30</v>
      </c>
      <c r="S325" s="4">
        <v>1</v>
      </c>
      <c r="T325" s="4">
        <v>2</v>
      </c>
      <c r="U325" s="3"/>
      <c r="V325" s="3" t="s">
        <v>733</v>
      </c>
      <c r="W325" s="5">
        <v>39057</v>
      </c>
      <c r="X325" s="4">
        <v>2006</v>
      </c>
      <c r="Y325" s="4">
        <v>12</v>
      </c>
      <c r="Z325" s="4">
        <v>6</v>
      </c>
      <c r="AA325" s="3" t="s">
        <v>704</v>
      </c>
      <c r="AC325" t="s">
        <v>1157</v>
      </c>
      <c r="AD325" t="s">
        <v>1158</v>
      </c>
      <c r="AF325" s="3"/>
      <c r="AG325" s="3"/>
      <c r="AH325" s="3"/>
      <c r="AI325" s="3"/>
      <c r="AJ325" s="3"/>
      <c r="AK325" s="3" t="s">
        <v>685</v>
      </c>
      <c r="AL325" s="3" t="s">
        <v>686</v>
      </c>
      <c r="AM325" s="3" t="s">
        <v>687</v>
      </c>
      <c r="AN325" s="3" t="s">
        <v>687</v>
      </c>
      <c r="AO325" s="3"/>
      <c r="AP325" s="3"/>
      <c r="AQ325" s="3"/>
      <c r="AR325" s="3"/>
      <c r="AS325" s="3"/>
      <c r="AT325" s="3"/>
      <c r="AU325" s="3"/>
      <c r="AV325" s="3"/>
      <c r="AW325" s="3"/>
      <c r="AX325" s="3"/>
      <c r="AY325" s="3"/>
      <c r="AZ325" s="3"/>
      <c r="BA325" s="3"/>
      <c r="BB325" s="3"/>
      <c r="BC325" s="3" t="s">
        <v>714</v>
      </c>
      <c r="BD325" s="3" t="s">
        <v>715</v>
      </c>
    </row>
    <row r="326" spans="1:58" ht="15.75" customHeight="1" x14ac:dyDescent="0.2"/>
    <row r="327" spans="1:58" ht="15.75" customHeight="1" x14ac:dyDescent="0.2"/>
    <row r="328" spans="1:58" ht="15.75" customHeight="1" x14ac:dyDescent="0.2"/>
    <row r="329" spans="1:58" ht="15.75" customHeight="1" x14ac:dyDescent="0.2"/>
    <row r="330" spans="1:58" ht="15.75" customHeight="1" x14ac:dyDescent="0.2"/>
    <row r="331" spans="1:58" ht="15.75" customHeight="1" x14ac:dyDescent="0.2"/>
    <row r="332" spans="1:58" ht="15.75" customHeight="1" x14ac:dyDescent="0.2"/>
    <row r="333" spans="1:58" ht="15.75" customHeight="1" x14ac:dyDescent="0.2"/>
    <row r="334" spans="1:58" ht="15.75" customHeight="1" x14ac:dyDescent="0.2"/>
    <row r="335" spans="1:58" ht="15.75" customHeight="1" x14ac:dyDescent="0.2"/>
    <row r="336" spans="1:58"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sheetData>
  <autoFilter ref="A1:CU1" xr:uid="{6865615E-CF85-444D-9355-767B97C3310D}">
    <sortState xmlns:xlrd2="http://schemas.microsoft.com/office/spreadsheetml/2017/richdata2" ref="A2:CU325">
      <sortCondition ref="AD1:AD325"/>
    </sortState>
  </autoFilter>
  <conditionalFormatting sqref="D1:D1048576">
    <cfRule type="duplicateValues" dxfId="6" priority="1"/>
  </conditionalFormatting>
  <conditionalFormatting sqref="D331:D1048576 E326:E330">
    <cfRule type="duplicateValues" dxfId="5" priority="9"/>
  </conditionalFormatting>
  <conditionalFormatting sqref="E1">
    <cfRule type="duplicateValues" dxfId="4" priority="5"/>
  </conditionalFormatting>
  <conditionalFormatting sqref="E2:E98">
    <cfRule type="duplicateValues" dxfId="3" priority="4"/>
  </conditionalFormatting>
  <conditionalFormatting sqref="E99:E325">
    <cfRule type="duplicateValues" dxfId="2" priority="11"/>
  </conditionalFormatting>
  <conditionalFormatting sqref="O274:U325">
    <cfRule type="duplicateValues" dxfId="1" priority="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F9018-7BD2-E14A-A0D9-372512C3AE0B}">
  <dimension ref="A1:H106"/>
  <sheetViews>
    <sheetView tabSelected="1" topLeftCell="A79" workbookViewId="0">
      <selection activeCell="B114" sqref="B114"/>
    </sheetView>
  </sheetViews>
  <sheetFormatPr baseColWidth="10" defaultRowHeight="16" x14ac:dyDescent="0.2"/>
  <cols>
    <col min="2" max="2" width="17" bestFit="1" customWidth="1"/>
    <col min="3" max="3" width="10" bestFit="1" customWidth="1"/>
    <col min="4" max="4" width="17" bestFit="1" customWidth="1"/>
    <col min="5" max="5" width="18.5" style="15" bestFit="1" customWidth="1"/>
  </cols>
  <sheetData>
    <row r="1" spans="1:4" x14ac:dyDescent="0.2">
      <c r="A1" s="11">
        <v>45957</v>
      </c>
    </row>
    <row r="2" spans="1:4" x14ac:dyDescent="0.2">
      <c r="A2" t="s">
        <v>1714</v>
      </c>
    </row>
    <row r="3" spans="1:4" x14ac:dyDescent="0.2">
      <c r="A3" s="10" t="s">
        <v>412</v>
      </c>
      <c r="B3" s="10" t="s">
        <v>413</v>
      </c>
      <c r="C3" s="10" t="s">
        <v>442</v>
      </c>
      <c r="D3" s="10"/>
    </row>
    <row r="4" spans="1:4" x14ac:dyDescent="0.2">
      <c r="A4" s="10" t="s">
        <v>405</v>
      </c>
      <c r="B4" s="10" t="s">
        <v>406</v>
      </c>
      <c r="C4" s="10" t="s">
        <v>441</v>
      </c>
      <c r="D4" s="10"/>
    </row>
    <row r="5" spans="1:4" x14ac:dyDescent="0.2">
      <c r="A5" s="10" t="s">
        <v>372</v>
      </c>
      <c r="B5" s="10" t="s">
        <v>373</v>
      </c>
    </row>
    <row r="7" spans="1:4" x14ac:dyDescent="0.2">
      <c r="A7" s="10" t="s">
        <v>1715</v>
      </c>
    </row>
    <row r="8" spans="1:4" x14ac:dyDescent="0.2">
      <c r="A8" t="s">
        <v>327</v>
      </c>
    </row>
    <row r="9" spans="1:4" x14ac:dyDescent="0.2">
      <c r="A9" t="s">
        <v>331</v>
      </c>
    </row>
    <row r="10" spans="1:4" x14ac:dyDescent="0.2">
      <c r="A10" t="s">
        <v>333</v>
      </c>
    </row>
    <row r="11" spans="1:4" x14ac:dyDescent="0.2">
      <c r="A11" t="s">
        <v>336</v>
      </c>
    </row>
    <row r="12" spans="1:4" x14ac:dyDescent="0.2">
      <c r="A12" t="s">
        <v>338</v>
      </c>
    </row>
    <row r="13" spans="1:4" x14ac:dyDescent="0.2">
      <c r="A13" t="s">
        <v>347</v>
      </c>
    </row>
    <row r="14" spans="1:4" x14ac:dyDescent="0.2">
      <c r="A14" t="s">
        <v>351</v>
      </c>
    </row>
    <row r="15" spans="1:4" x14ac:dyDescent="0.2">
      <c r="A15" t="s">
        <v>356</v>
      </c>
    </row>
    <row r="16" spans="1:4" x14ac:dyDescent="0.2">
      <c r="A16" t="s">
        <v>361</v>
      </c>
    </row>
    <row r="17" spans="1:1" x14ac:dyDescent="0.2">
      <c r="A17" t="s">
        <v>377</v>
      </c>
    </row>
    <row r="18" spans="1:1" x14ac:dyDescent="0.2">
      <c r="A18" t="s">
        <v>383</v>
      </c>
    </row>
    <row r="19" spans="1:1" x14ac:dyDescent="0.2">
      <c r="A19" t="s">
        <v>385</v>
      </c>
    </row>
    <row r="20" spans="1:1" x14ac:dyDescent="0.2">
      <c r="A20" t="s">
        <v>387</v>
      </c>
    </row>
    <row r="21" spans="1:1" x14ac:dyDescent="0.2">
      <c r="A21" t="s">
        <v>394</v>
      </c>
    </row>
    <row r="22" spans="1:1" x14ac:dyDescent="0.2">
      <c r="A22" t="s">
        <v>399</v>
      </c>
    </row>
    <row r="23" spans="1:1" x14ac:dyDescent="0.2">
      <c r="A23" t="s">
        <v>407</v>
      </c>
    </row>
    <row r="24" spans="1:1" x14ac:dyDescent="0.2">
      <c r="A24" t="s">
        <v>409</v>
      </c>
    </row>
    <row r="25" spans="1:1" x14ac:dyDescent="0.2">
      <c r="A25" t="s">
        <v>415</v>
      </c>
    </row>
    <row r="26" spans="1:1" x14ac:dyDescent="0.2">
      <c r="A26" t="s">
        <v>428</v>
      </c>
    </row>
    <row r="27" spans="1:1" x14ac:dyDescent="0.2">
      <c r="A27" t="s">
        <v>437</v>
      </c>
    </row>
    <row r="28" spans="1:1" x14ac:dyDescent="0.2">
      <c r="A28" t="s">
        <v>445</v>
      </c>
    </row>
    <row r="29" spans="1:1" x14ac:dyDescent="0.2">
      <c r="A29" t="s">
        <v>454</v>
      </c>
    </row>
    <row r="30" spans="1:1" x14ac:dyDescent="0.2">
      <c r="A30" t="s">
        <v>457</v>
      </c>
    </row>
    <row r="31" spans="1:1" x14ac:dyDescent="0.2">
      <c r="A31" t="s">
        <v>459</v>
      </c>
    </row>
    <row r="32" spans="1:1" x14ac:dyDescent="0.2">
      <c r="A32" t="s">
        <v>461</v>
      </c>
    </row>
    <row r="33" spans="1:1" x14ac:dyDescent="0.2">
      <c r="A33" t="s">
        <v>464</v>
      </c>
    </row>
    <row r="34" spans="1:1" x14ac:dyDescent="0.2">
      <c r="A34" t="s">
        <v>466</v>
      </c>
    </row>
    <row r="35" spans="1:1" x14ac:dyDescent="0.2">
      <c r="A35" t="s">
        <v>468</v>
      </c>
    </row>
    <row r="36" spans="1:1" x14ac:dyDescent="0.2">
      <c r="A36" t="s">
        <v>473</v>
      </c>
    </row>
    <row r="37" spans="1:1" x14ac:dyDescent="0.2">
      <c r="A37" t="s">
        <v>479</v>
      </c>
    </row>
    <row r="38" spans="1:1" x14ac:dyDescent="0.2">
      <c r="A38" t="s">
        <v>490</v>
      </c>
    </row>
    <row r="39" spans="1:1" x14ac:dyDescent="0.2">
      <c r="A39" t="s">
        <v>500</v>
      </c>
    </row>
    <row r="40" spans="1:1" x14ac:dyDescent="0.2">
      <c r="A40" t="s">
        <v>511</v>
      </c>
    </row>
    <row r="41" spans="1:1" x14ac:dyDescent="0.2">
      <c r="A41" t="s">
        <v>513</v>
      </c>
    </row>
    <row r="42" spans="1:1" x14ac:dyDescent="0.2">
      <c r="A42" t="s">
        <v>516</v>
      </c>
    </row>
    <row r="43" spans="1:1" x14ac:dyDescent="0.2">
      <c r="A43" t="s">
        <v>518</v>
      </c>
    </row>
    <row r="44" spans="1:1" x14ac:dyDescent="0.2">
      <c r="A44" t="s">
        <v>521</v>
      </c>
    </row>
    <row r="45" spans="1:1" x14ac:dyDescent="0.2">
      <c r="A45" t="s">
        <v>527</v>
      </c>
    </row>
    <row r="46" spans="1:1" x14ac:dyDescent="0.2">
      <c r="A46" t="s">
        <v>538</v>
      </c>
    </row>
    <row r="47" spans="1:1" x14ac:dyDescent="0.2">
      <c r="A47" t="s">
        <v>542</v>
      </c>
    </row>
    <row r="48" spans="1:1" x14ac:dyDescent="0.2">
      <c r="A48" t="s">
        <v>544</v>
      </c>
    </row>
    <row r="49" spans="1:8" x14ac:dyDescent="0.2">
      <c r="A49" t="s">
        <v>547</v>
      </c>
    </row>
    <row r="50" spans="1:8" x14ac:dyDescent="0.2">
      <c r="A50" t="s">
        <v>549</v>
      </c>
    </row>
    <row r="51" spans="1:8" x14ac:dyDescent="0.2">
      <c r="A51" t="s">
        <v>561</v>
      </c>
    </row>
    <row r="52" spans="1:8" x14ac:dyDescent="0.2">
      <c r="A52" t="s">
        <v>563</v>
      </c>
    </row>
    <row r="53" spans="1:8" x14ac:dyDescent="0.2">
      <c r="A53" t="s">
        <v>565</v>
      </c>
    </row>
    <row r="54" spans="1:8" x14ac:dyDescent="0.2">
      <c r="A54" t="s">
        <v>568</v>
      </c>
    </row>
    <row r="55" spans="1:8" x14ac:dyDescent="0.2">
      <c r="A55" t="s">
        <v>572</v>
      </c>
    </row>
    <row r="56" spans="1:8" x14ac:dyDescent="0.2">
      <c r="A56" t="s">
        <v>579</v>
      </c>
    </row>
    <row r="57" spans="1:8" x14ac:dyDescent="0.2">
      <c r="A57" t="s">
        <v>581</v>
      </c>
    </row>
    <row r="58" spans="1:8" x14ac:dyDescent="0.2">
      <c r="A58" t="s">
        <v>586</v>
      </c>
    </row>
    <row r="59" spans="1:8" x14ac:dyDescent="0.2">
      <c r="A59" t="s">
        <v>589</v>
      </c>
    </row>
    <row r="60" spans="1:8" x14ac:dyDescent="0.2">
      <c r="A60" t="s">
        <v>593</v>
      </c>
    </row>
    <row r="61" spans="1:8" x14ac:dyDescent="0.2">
      <c r="A61" t="s">
        <v>595</v>
      </c>
    </row>
    <row r="63" spans="1:8" x14ac:dyDescent="0.2">
      <c r="A63" t="s">
        <v>1773</v>
      </c>
    </row>
    <row r="64" spans="1:8" s="20" customFormat="1" x14ac:dyDescent="0.2">
      <c r="A64" s="18" t="s">
        <v>1639</v>
      </c>
      <c r="B64" s="18" t="s">
        <v>1641</v>
      </c>
      <c r="C64" s="18" t="s">
        <v>1640</v>
      </c>
      <c r="D64" s="18" t="s">
        <v>1642</v>
      </c>
      <c r="E64" s="19" t="s">
        <v>1774</v>
      </c>
      <c r="F64" s="18" t="s">
        <v>1777</v>
      </c>
      <c r="G64" s="18"/>
      <c r="H64" s="18"/>
    </row>
    <row r="65" spans="1:8" x14ac:dyDescent="0.2">
      <c r="A65" s="10" t="s">
        <v>367</v>
      </c>
      <c r="B65" s="10" t="s">
        <v>1157</v>
      </c>
      <c r="C65" s="10" t="s">
        <v>444</v>
      </c>
      <c r="D65" s="10" t="s">
        <v>1157</v>
      </c>
      <c r="E65" s="17" t="s">
        <v>1775</v>
      </c>
      <c r="F65" s="17" t="s">
        <v>1778</v>
      </c>
      <c r="G65" s="13"/>
      <c r="H65" s="14"/>
    </row>
    <row r="66" spans="1:8" x14ac:dyDescent="0.2">
      <c r="A66" s="10" t="s">
        <v>370</v>
      </c>
      <c r="B66" s="10" t="s">
        <v>1157</v>
      </c>
      <c r="C66" s="10" t="s">
        <v>373</v>
      </c>
      <c r="D66" s="10" t="s">
        <v>1157</v>
      </c>
      <c r="E66" s="16" t="s">
        <v>1776</v>
      </c>
      <c r="F66" s="16" t="s">
        <v>1778</v>
      </c>
      <c r="G66" s="10"/>
      <c r="H66" s="12"/>
    </row>
    <row r="67" spans="1:8" x14ac:dyDescent="0.2">
      <c r="A67" s="10" t="s">
        <v>370</v>
      </c>
      <c r="B67" s="10" t="s">
        <v>1157</v>
      </c>
      <c r="C67" s="10" t="s">
        <v>372</v>
      </c>
      <c r="D67" s="10" t="s">
        <v>1157</v>
      </c>
      <c r="E67" s="16" t="s">
        <v>1776</v>
      </c>
      <c r="F67" s="16" t="s">
        <v>1778</v>
      </c>
      <c r="G67" s="10"/>
      <c r="H67" s="12"/>
    </row>
    <row r="68" spans="1:8" x14ac:dyDescent="0.2">
      <c r="A68" s="10" t="s">
        <v>490</v>
      </c>
      <c r="B68" s="10" t="s">
        <v>1364</v>
      </c>
      <c r="C68" s="10" t="s">
        <v>529</v>
      </c>
      <c r="D68" s="10" t="s">
        <v>1364</v>
      </c>
      <c r="E68" s="17" t="s">
        <v>1775</v>
      </c>
      <c r="F68" s="17" t="s">
        <v>1778</v>
      </c>
      <c r="G68" s="13"/>
      <c r="H68" s="14"/>
    </row>
    <row r="69" spans="1:8" x14ac:dyDescent="0.2">
      <c r="A69" s="10" t="s">
        <v>491</v>
      </c>
      <c r="B69" s="10" t="s">
        <v>1364</v>
      </c>
      <c r="C69" s="10" t="s">
        <v>529</v>
      </c>
      <c r="D69" s="10" t="s">
        <v>1364</v>
      </c>
      <c r="E69" s="17" t="s">
        <v>1775</v>
      </c>
      <c r="F69" s="17" t="s">
        <v>1778</v>
      </c>
      <c r="G69" s="13"/>
      <c r="H69" s="14"/>
    </row>
    <row r="70" spans="1:8" x14ac:dyDescent="0.2">
      <c r="A70" s="10" t="s">
        <v>380</v>
      </c>
      <c r="B70" s="10" t="s">
        <v>1157</v>
      </c>
      <c r="C70" s="10" t="s">
        <v>396</v>
      </c>
      <c r="D70" s="10" t="s">
        <v>1157</v>
      </c>
      <c r="E70" s="16" t="s">
        <v>1775</v>
      </c>
      <c r="F70" s="16" t="s">
        <v>1778</v>
      </c>
      <c r="G70" s="10"/>
      <c r="H70" s="12"/>
    </row>
    <row r="72" spans="1:8" x14ac:dyDescent="0.2">
      <c r="A72" s="1">
        <v>46000</v>
      </c>
    </row>
    <row r="73" spans="1:8" x14ac:dyDescent="0.2">
      <c r="A73" s="10" t="s">
        <v>1779</v>
      </c>
    </row>
    <row r="74" spans="1:8" x14ac:dyDescent="0.2">
      <c r="A74" t="s">
        <v>1780</v>
      </c>
    </row>
    <row r="75" spans="1:8" x14ac:dyDescent="0.2">
      <c r="A75" t="s">
        <v>1781</v>
      </c>
    </row>
    <row r="76" spans="1:8" x14ac:dyDescent="0.2">
      <c r="A76" t="s">
        <v>1782</v>
      </c>
    </row>
    <row r="77" spans="1:8" x14ac:dyDescent="0.2">
      <c r="A77" t="s">
        <v>1783</v>
      </c>
    </row>
    <row r="79" spans="1:8" x14ac:dyDescent="0.2">
      <c r="A79" t="s">
        <v>1784</v>
      </c>
    </row>
    <row r="80" spans="1:8" x14ac:dyDescent="0.2">
      <c r="A80" t="s">
        <v>1785</v>
      </c>
    </row>
    <row r="81" spans="1:1" x14ac:dyDescent="0.2">
      <c r="A81" t="s">
        <v>1786</v>
      </c>
    </row>
    <row r="83" spans="1:1" x14ac:dyDescent="0.2">
      <c r="A83" t="s">
        <v>1787</v>
      </c>
    </row>
    <row r="84" spans="1:1" x14ac:dyDescent="0.2">
      <c r="A84" t="s">
        <v>1788</v>
      </c>
    </row>
    <row r="85" spans="1:1" x14ac:dyDescent="0.2">
      <c r="A85" t="s">
        <v>1789</v>
      </c>
    </row>
    <row r="86" spans="1:1" x14ac:dyDescent="0.2">
      <c r="A86" t="s">
        <v>1790</v>
      </c>
    </row>
    <row r="88" spans="1:1" x14ac:dyDescent="0.2">
      <c r="A88" t="s">
        <v>1791</v>
      </c>
    </row>
    <row r="89" spans="1:1" x14ac:dyDescent="0.2">
      <c r="A89" t="s">
        <v>1792</v>
      </c>
    </row>
    <row r="90" spans="1:1" x14ac:dyDescent="0.2">
      <c r="A90" t="s">
        <v>1793</v>
      </c>
    </row>
    <row r="91" spans="1:1" x14ac:dyDescent="0.2">
      <c r="A91" t="s">
        <v>1794</v>
      </c>
    </row>
    <row r="93" spans="1:1" x14ac:dyDescent="0.2">
      <c r="A93" t="s">
        <v>1795</v>
      </c>
    </row>
    <row r="94" spans="1:1" x14ac:dyDescent="0.2">
      <c r="A94" t="s">
        <v>1796</v>
      </c>
    </row>
    <row r="95" spans="1:1" x14ac:dyDescent="0.2">
      <c r="A95" t="s">
        <v>1797</v>
      </c>
    </row>
    <row r="98" spans="1:1" x14ac:dyDescent="0.2">
      <c r="A98" s="1">
        <v>46002</v>
      </c>
    </row>
    <row r="99" spans="1:1" x14ac:dyDescent="0.2">
      <c r="A99" t="s">
        <v>1802</v>
      </c>
    </row>
    <row r="100" spans="1:1" x14ac:dyDescent="0.2">
      <c r="A100" t="s">
        <v>1803</v>
      </c>
    </row>
    <row r="101" spans="1:1" x14ac:dyDescent="0.2">
      <c r="A101" t="s">
        <v>1804</v>
      </c>
    </row>
    <row r="102" spans="1:1" x14ac:dyDescent="0.2">
      <c r="A102" t="s">
        <v>1805</v>
      </c>
    </row>
    <row r="104" spans="1:1" x14ac:dyDescent="0.2">
      <c r="A104" s="1">
        <v>46007</v>
      </c>
    </row>
    <row r="105" spans="1:1" x14ac:dyDescent="0.2">
      <c r="A105" t="s">
        <v>1806</v>
      </c>
    </row>
    <row r="106" spans="1:1" x14ac:dyDescent="0.2">
      <c r="A106" t="s">
        <v>1807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959B1-308F-D64A-992D-1B5028C43B37}">
  <dimension ref="A1:C324"/>
  <sheetViews>
    <sheetView workbookViewId="0">
      <selection activeCell="B1" sqref="B1:B1048576"/>
    </sheetView>
  </sheetViews>
  <sheetFormatPr baseColWidth="10" defaultRowHeight="16" x14ac:dyDescent="0.2"/>
  <cols>
    <col min="1" max="2" width="25.33203125" bestFit="1" customWidth="1"/>
  </cols>
  <sheetData>
    <row r="1" spans="1:3" x14ac:dyDescent="0.2">
      <c r="A1" t="s">
        <v>0</v>
      </c>
      <c r="B1" t="s">
        <v>324</v>
      </c>
      <c r="C1" t="s">
        <v>648</v>
      </c>
    </row>
    <row r="2" spans="1:3" x14ac:dyDescent="0.2">
      <c r="A2" t="s">
        <v>1</v>
      </c>
      <c r="B2" t="s">
        <v>325</v>
      </c>
      <c r="C2" t="s">
        <v>648</v>
      </c>
    </row>
    <row r="3" spans="1:3" x14ac:dyDescent="0.2">
      <c r="A3" t="s">
        <v>2</v>
      </c>
      <c r="B3" t="s">
        <v>326</v>
      </c>
      <c r="C3" t="s">
        <v>648</v>
      </c>
    </row>
    <row r="4" spans="1:3" x14ac:dyDescent="0.2">
      <c r="A4" t="s">
        <v>3</v>
      </c>
      <c r="B4" t="s">
        <v>327</v>
      </c>
      <c r="C4" t="s">
        <v>648</v>
      </c>
    </row>
    <row r="5" spans="1:3" x14ac:dyDescent="0.2">
      <c r="A5" t="s">
        <v>4</v>
      </c>
      <c r="B5" t="s">
        <v>328</v>
      </c>
      <c r="C5" t="s">
        <v>648</v>
      </c>
    </row>
    <row r="6" spans="1:3" x14ac:dyDescent="0.2">
      <c r="A6" t="s">
        <v>5</v>
      </c>
      <c r="B6" t="s">
        <v>329</v>
      </c>
      <c r="C6" t="s">
        <v>648</v>
      </c>
    </row>
    <row r="7" spans="1:3" x14ac:dyDescent="0.2">
      <c r="A7" t="s">
        <v>6</v>
      </c>
      <c r="B7" t="s">
        <v>330</v>
      </c>
      <c r="C7" t="s">
        <v>648</v>
      </c>
    </row>
    <row r="8" spans="1:3" x14ac:dyDescent="0.2">
      <c r="A8" t="s">
        <v>7</v>
      </c>
      <c r="B8" t="s">
        <v>331</v>
      </c>
      <c r="C8" t="s">
        <v>648</v>
      </c>
    </row>
    <row r="9" spans="1:3" x14ac:dyDescent="0.2">
      <c r="A9" t="s">
        <v>8</v>
      </c>
      <c r="B9" t="s">
        <v>332</v>
      </c>
      <c r="C9" t="s">
        <v>648</v>
      </c>
    </row>
    <row r="10" spans="1:3" x14ac:dyDescent="0.2">
      <c r="A10" t="s">
        <v>9</v>
      </c>
      <c r="B10" t="s">
        <v>333</v>
      </c>
      <c r="C10" t="s">
        <v>648</v>
      </c>
    </row>
    <row r="11" spans="1:3" x14ac:dyDescent="0.2">
      <c r="A11" t="s">
        <v>10</v>
      </c>
      <c r="B11" t="s">
        <v>334</v>
      </c>
      <c r="C11" t="s">
        <v>648</v>
      </c>
    </row>
    <row r="12" spans="1:3" x14ac:dyDescent="0.2">
      <c r="A12" t="s">
        <v>11</v>
      </c>
      <c r="B12" t="s">
        <v>335</v>
      </c>
      <c r="C12" t="s">
        <v>648</v>
      </c>
    </row>
    <row r="13" spans="1:3" x14ac:dyDescent="0.2">
      <c r="A13" t="s">
        <v>12</v>
      </c>
      <c r="B13" t="s">
        <v>336</v>
      </c>
      <c r="C13" t="s">
        <v>648</v>
      </c>
    </row>
    <row r="14" spans="1:3" x14ac:dyDescent="0.2">
      <c r="A14" t="s">
        <v>13</v>
      </c>
      <c r="B14" t="s">
        <v>337</v>
      </c>
      <c r="C14" t="s">
        <v>648</v>
      </c>
    </row>
    <row r="15" spans="1:3" x14ac:dyDescent="0.2">
      <c r="A15" t="s">
        <v>14</v>
      </c>
      <c r="B15" t="s">
        <v>338</v>
      </c>
      <c r="C15" t="s">
        <v>648</v>
      </c>
    </row>
    <row r="16" spans="1:3" x14ac:dyDescent="0.2">
      <c r="A16" t="s">
        <v>15</v>
      </c>
      <c r="B16" t="s">
        <v>339</v>
      </c>
      <c r="C16" t="s">
        <v>648</v>
      </c>
    </row>
    <row r="17" spans="1:3" x14ac:dyDescent="0.2">
      <c r="A17" t="s">
        <v>16</v>
      </c>
      <c r="B17" t="s">
        <v>340</v>
      </c>
      <c r="C17" t="s">
        <v>648</v>
      </c>
    </row>
    <row r="18" spans="1:3" x14ac:dyDescent="0.2">
      <c r="A18" t="s">
        <v>17</v>
      </c>
      <c r="B18" t="s">
        <v>341</v>
      </c>
      <c r="C18" t="s">
        <v>648</v>
      </c>
    </row>
    <row r="19" spans="1:3" x14ac:dyDescent="0.2">
      <c r="A19" t="s">
        <v>18</v>
      </c>
      <c r="B19" t="s">
        <v>342</v>
      </c>
      <c r="C19" t="s">
        <v>648</v>
      </c>
    </row>
    <row r="20" spans="1:3" x14ac:dyDescent="0.2">
      <c r="A20" t="s">
        <v>19</v>
      </c>
      <c r="B20" t="s">
        <v>343</v>
      </c>
      <c r="C20" t="s">
        <v>648</v>
      </c>
    </row>
    <row r="21" spans="1:3" x14ac:dyDescent="0.2">
      <c r="A21" t="s">
        <v>20</v>
      </c>
      <c r="B21" t="s">
        <v>344</v>
      </c>
      <c r="C21" t="s">
        <v>648</v>
      </c>
    </row>
    <row r="22" spans="1:3" x14ac:dyDescent="0.2">
      <c r="A22" t="s">
        <v>21</v>
      </c>
      <c r="B22" t="s">
        <v>345</v>
      </c>
      <c r="C22" t="s">
        <v>648</v>
      </c>
    </row>
    <row r="23" spans="1:3" x14ac:dyDescent="0.2">
      <c r="A23" t="s">
        <v>22</v>
      </c>
      <c r="B23" t="s">
        <v>346</v>
      </c>
      <c r="C23" t="s">
        <v>648</v>
      </c>
    </row>
    <row r="24" spans="1:3" x14ac:dyDescent="0.2">
      <c r="A24" t="s">
        <v>23</v>
      </c>
      <c r="B24" t="s">
        <v>347</v>
      </c>
      <c r="C24" t="s">
        <v>648</v>
      </c>
    </row>
    <row r="25" spans="1:3" x14ac:dyDescent="0.2">
      <c r="A25" t="s">
        <v>24</v>
      </c>
      <c r="B25" t="s">
        <v>348</v>
      </c>
      <c r="C25" t="s">
        <v>648</v>
      </c>
    </row>
    <row r="26" spans="1:3" x14ac:dyDescent="0.2">
      <c r="A26" t="s">
        <v>25</v>
      </c>
      <c r="B26" t="s">
        <v>349</v>
      </c>
      <c r="C26" t="s">
        <v>648</v>
      </c>
    </row>
    <row r="27" spans="1:3" x14ac:dyDescent="0.2">
      <c r="A27" t="s">
        <v>26</v>
      </c>
      <c r="B27" t="s">
        <v>350</v>
      </c>
      <c r="C27" t="s">
        <v>648</v>
      </c>
    </row>
    <row r="28" spans="1:3" x14ac:dyDescent="0.2">
      <c r="A28" t="s">
        <v>27</v>
      </c>
      <c r="B28" t="s">
        <v>351</v>
      </c>
      <c r="C28" t="s">
        <v>648</v>
      </c>
    </row>
    <row r="29" spans="1:3" x14ac:dyDescent="0.2">
      <c r="A29" t="s">
        <v>28</v>
      </c>
      <c r="B29" t="s">
        <v>352</v>
      </c>
      <c r="C29" t="s">
        <v>648</v>
      </c>
    </row>
    <row r="30" spans="1:3" x14ac:dyDescent="0.2">
      <c r="A30" t="s">
        <v>29</v>
      </c>
      <c r="B30" t="s">
        <v>353</v>
      </c>
      <c r="C30" t="s">
        <v>648</v>
      </c>
    </row>
    <row r="31" spans="1:3" x14ac:dyDescent="0.2">
      <c r="A31" t="s">
        <v>30</v>
      </c>
      <c r="B31" t="s">
        <v>354</v>
      </c>
      <c r="C31" t="s">
        <v>648</v>
      </c>
    </row>
    <row r="32" spans="1:3" x14ac:dyDescent="0.2">
      <c r="A32" t="s">
        <v>31</v>
      </c>
      <c r="B32" t="s">
        <v>355</v>
      </c>
      <c r="C32" t="s">
        <v>648</v>
      </c>
    </row>
    <row r="33" spans="1:3" x14ac:dyDescent="0.2">
      <c r="A33" t="s">
        <v>32</v>
      </c>
      <c r="B33" t="s">
        <v>356</v>
      </c>
      <c r="C33" t="s">
        <v>648</v>
      </c>
    </row>
    <row r="34" spans="1:3" x14ac:dyDescent="0.2">
      <c r="A34" t="s">
        <v>33</v>
      </c>
      <c r="B34" t="s">
        <v>357</v>
      </c>
      <c r="C34" t="s">
        <v>648</v>
      </c>
    </row>
    <row r="35" spans="1:3" x14ac:dyDescent="0.2">
      <c r="A35" t="s">
        <v>34</v>
      </c>
      <c r="B35" t="s">
        <v>358</v>
      </c>
      <c r="C35" t="s">
        <v>648</v>
      </c>
    </row>
    <row r="36" spans="1:3" x14ac:dyDescent="0.2">
      <c r="A36" t="s">
        <v>35</v>
      </c>
      <c r="B36" t="s">
        <v>359</v>
      </c>
      <c r="C36" t="s">
        <v>648</v>
      </c>
    </row>
    <row r="37" spans="1:3" x14ac:dyDescent="0.2">
      <c r="A37" t="s">
        <v>36</v>
      </c>
      <c r="B37" t="s">
        <v>360</v>
      </c>
      <c r="C37" t="s">
        <v>648</v>
      </c>
    </row>
    <row r="38" spans="1:3" x14ac:dyDescent="0.2">
      <c r="A38" t="s">
        <v>37</v>
      </c>
      <c r="B38" t="s">
        <v>361</v>
      </c>
      <c r="C38" t="s">
        <v>648</v>
      </c>
    </row>
    <row r="39" spans="1:3" x14ac:dyDescent="0.2">
      <c r="A39" t="s">
        <v>38</v>
      </c>
      <c r="B39" t="s">
        <v>362</v>
      </c>
      <c r="C39" t="s">
        <v>648</v>
      </c>
    </row>
    <row r="40" spans="1:3" x14ac:dyDescent="0.2">
      <c r="A40" t="s">
        <v>39</v>
      </c>
      <c r="B40" t="s">
        <v>363</v>
      </c>
      <c r="C40" t="s">
        <v>648</v>
      </c>
    </row>
    <row r="41" spans="1:3" x14ac:dyDescent="0.2">
      <c r="A41" t="s">
        <v>40</v>
      </c>
      <c r="B41" t="s">
        <v>364</v>
      </c>
      <c r="C41" t="s">
        <v>648</v>
      </c>
    </row>
    <row r="42" spans="1:3" x14ac:dyDescent="0.2">
      <c r="A42" t="s">
        <v>41</v>
      </c>
      <c r="B42" t="s">
        <v>365</v>
      </c>
      <c r="C42" t="s">
        <v>648</v>
      </c>
    </row>
    <row r="43" spans="1:3" x14ac:dyDescent="0.2">
      <c r="A43" t="s">
        <v>42</v>
      </c>
      <c r="B43" t="s">
        <v>366</v>
      </c>
      <c r="C43" t="s">
        <v>648</v>
      </c>
    </row>
    <row r="44" spans="1:3" x14ac:dyDescent="0.2">
      <c r="A44" t="s">
        <v>43</v>
      </c>
      <c r="B44" t="s">
        <v>367</v>
      </c>
      <c r="C44" t="s">
        <v>648</v>
      </c>
    </row>
    <row r="45" spans="1:3" x14ac:dyDescent="0.2">
      <c r="A45" t="s">
        <v>44</v>
      </c>
      <c r="B45" t="s">
        <v>368</v>
      </c>
      <c r="C45" t="s">
        <v>648</v>
      </c>
    </row>
    <row r="46" spans="1:3" x14ac:dyDescent="0.2">
      <c r="A46" t="s">
        <v>45</v>
      </c>
      <c r="B46" t="s">
        <v>369</v>
      </c>
      <c r="C46" t="s">
        <v>648</v>
      </c>
    </row>
    <row r="47" spans="1:3" x14ac:dyDescent="0.2">
      <c r="A47" t="s">
        <v>46</v>
      </c>
      <c r="B47" t="s">
        <v>370</v>
      </c>
      <c r="C47" t="s">
        <v>648</v>
      </c>
    </row>
    <row r="48" spans="1:3" x14ac:dyDescent="0.2">
      <c r="A48" t="s">
        <v>47</v>
      </c>
      <c r="B48" t="s">
        <v>371</v>
      </c>
      <c r="C48" t="s">
        <v>648</v>
      </c>
    </row>
    <row r="49" spans="1:3" x14ac:dyDescent="0.2">
      <c r="A49" t="s">
        <v>48</v>
      </c>
      <c r="B49" t="s">
        <v>372</v>
      </c>
      <c r="C49" t="s">
        <v>648</v>
      </c>
    </row>
    <row r="50" spans="1:3" x14ac:dyDescent="0.2">
      <c r="A50" t="s">
        <v>49</v>
      </c>
      <c r="B50" t="s">
        <v>373</v>
      </c>
      <c r="C50" t="s">
        <v>648</v>
      </c>
    </row>
    <row r="51" spans="1:3" x14ac:dyDescent="0.2">
      <c r="A51" t="s">
        <v>50</v>
      </c>
      <c r="B51" t="s">
        <v>374</v>
      </c>
      <c r="C51" t="s">
        <v>648</v>
      </c>
    </row>
    <row r="52" spans="1:3" x14ac:dyDescent="0.2">
      <c r="A52" t="s">
        <v>51</v>
      </c>
      <c r="B52" t="s">
        <v>375</v>
      </c>
      <c r="C52" t="s">
        <v>648</v>
      </c>
    </row>
    <row r="53" spans="1:3" x14ac:dyDescent="0.2">
      <c r="A53" t="s">
        <v>52</v>
      </c>
      <c r="B53" t="s">
        <v>376</v>
      </c>
      <c r="C53" t="s">
        <v>648</v>
      </c>
    </row>
    <row r="54" spans="1:3" x14ac:dyDescent="0.2">
      <c r="A54" t="s">
        <v>53</v>
      </c>
      <c r="B54" t="s">
        <v>377</v>
      </c>
      <c r="C54" t="s">
        <v>648</v>
      </c>
    </row>
    <row r="55" spans="1:3" x14ac:dyDescent="0.2">
      <c r="A55" t="s">
        <v>54</v>
      </c>
      <c r="B55" t="s">
        <v>378</v>
      </c>
      <c r="C55" t="s">
        <v>648</v>
      </c>
    </row>
    <row r="56" spans="1:3" x14ac:dyDescent="0.2">
      <c r="A56" t="s">
        <v>55</v>
      </c>
      <c r="B56" t="s">
        <v>379</v>
      </c>
      <c r="C56" t="s">
        <v>648</v>
      </c>
    </row>
    <row r="57" spans="1:3" x14ac:dyDescent="0.2">
      <c r="A57" t="s">
        <v>56</v>
      </c>
      <c r="B57" t="s">
        <v>380</v>
      </c>
      <c r="C57" t="s">
        <v>648</v>
      </c>
    </row>
    <row r="58" spans="1:3" x14ac:dyDescent="0.2">
      <c r="A58" t="s">
        <v>57</v>
      </c>
      <c r="B58" t="s">
        <v>381</v>
      </c>
      <c r="C58" t="s">
        <v>648</v>
      </c>
    </row>
    <row r="59" spans="1:3" x14ac:dyDescent="0.2">
      <c r="A59" t="s">
        <v>58</v>
      </c>
      <c r="B59" t="s">
        <v>382</v>
      </c>
      <c r="C59" t="s">
        <v>648</v>
      </c>
    </row>
    <row r="60" spans="1:3" x14ac:dyDescent="0.2">
      <c r="A60" t="s">
        <v>59</v>
      </c>
      <c r="B60" t="s">
        <v>383</v>
      </c>
      <c r="C60" t="s">
        <v>648</v>
      </c>
    </row>
    <row r="61" spans="1:3" x14ac:dyDescent="0.2">
      <c r="A61" t="s">
        <v>60</v>
      </c>
      <c r="B61" t="s">
        <v>384</v>
      </c>
      <c r="C61" t="s">
        <v>648</v>
      </c>
    </row>
    <row r="62" spans="1:3" x14ac:dyDescent="0.2">
      <c r="A62" t="s">
        <v>61</v>
      </c>
      <c r="B62" t="s">
        <v>385</v>
      </c>
      <c r="C62" t="s">
        <v>648</v>
      </c>
    </row>
    <row r="63" spans="1:3" x14ac:dyDescent="0.2">
      <c r="A63" t="s">
        <v>62</v>
      </c>
      <c r="B63" t="s">
        <v>386</v>
      </c>
      <c r="C63" t="s">
        <v>648</v>
      </c>
    </row>
    <row r="64" spans="1:3" x14ac:dyDescent="0.2">
      <c r="A64" t="s">
        <v>63</v>
      </c>
      <c r="B64" t="s">
        <v>387</v>
      </c>
      <c r="C64" t="s">
        <v>648</v>
      </c>
    </row>
    <row r="65" spans="1:3" x14ac:dyDescent="0.2">
      <c r="A65" t="s">
        <v>64</v>
      </c>
      <c r="B65" t="s">
        <v>388</v>
      </c>
      <c r="C65" t="s">
        <v>648</v>
      </c>
    </row>
    <row r="66" spans="1:3" x14ac:dyDescent="0.2">
      <c r="A66" t="s">
        <v>65</v>
      </c>
      <c r="B66" t="s">
        <v>389</v>
      </c>
      <c r="C66" t="s">
        <v>648</v>
      </c>
    </row>
    <row r="67" spans="1:3" x14ac:dyDescent="0.2">
      <c r="A67" t="s">
        <v>66</v>
      </c>
      <c r="B67" t="s">
        <v>390</v>
      </c>
      <c r="C67" t="s">
        <v>648</v>
      </c>
    </row>
    <row r="68" spans="1:3" x14ac:dyDescent="0.2">
      <c r="A68" t="s">
        <v>67</v>
      </c>
      <c r="B68" t="s">
        <v>391</v>
      </c>
      <c r="C68" t="s">
        <v>648</v>
      </c>
    </row>
    <row r="69" spans="1:3" x14ac:dyDescent="0.2">
      <c r="A69" t="s">
        <v>68</v>
      </c>
      <c r="B69" t="s">
        <v>392</v>
      </c>
      <c r="C69" t="s">
        <v>648</v>
      </c>
    </row>
    <row r="70" spans="1:3" x14ac:dyDescent="0.2">
      <c r="A70" t="s">
        <v>69</v>
      </c>
      <c r="B70" t="s">
        <v>393</v>
      </c>
      <c r="C70" t="s">
        <v>648</v>
      </c>
    </row>
    <row r="71" spans="1:3" x14ac:dyDescent="0.2">
      <c r="A71" t="s">
        <v>70</v>
      </c>
      <c r="B71" t="s">
        <v>394</v>
      </c>
      <c r="C71" t="s">
        <v>648</v>
      </c>
    </row>
    <row r="72" spans="1:3" x14ac:dyDescent="0.2">
      <c r="A72" t="s">
        <v>71</v>
      </c>
      <c r="B72" t="s">
        <v>395</v>
      </c>
      <c r="C72" t="s">
        <v>648</v>
      </c>
    </row>
    <row r="73" spans="1:3" x14ac:dyDescent="0.2">
      <c r="A73" t="s">
        <v>72</v>
      </c>
      <c r="B73" t="s">
        <v>396</v>
      </c>
      <c r="C73" t="s">
        <v>648</v>
      </c>
    </row>
    <row r="74" spans="1:3" x14ac:dyDescent="0.2">
      <c r="A74" t="s">
        <v>73</v>
      </c>
      <c r="B74" t="s">
        <v>397</v>
      </c>
      <c r="C74" t="s">
        <v>648</v>
      </c>
    </row>
    <row r="75" spans="1:3" x14ac:dyDescent="0.2">
      <c r="A75" t="s">
        <v>74</v>
      </c>
      <c r="B75" t="s">
        <v>398</v>
      </c>
      <c r="C75" t="s">
        <v>648</v>
      </c>
    </row>
    <row r="76" spans="1:3" x14ac:dyDescent="0.2">
      <c r="A76" t="s">
        <v>75</v>
      </c>
      <c r="B76" t="s">
        <v>399</v>
      </c>
      <c r="C76" t="s">
        <v>648</v>
      </c>
    </row>
    <row r="77" spans="1:3" x14ac:dyDescent="0.2">
      <c r="A77" t="s">
        <v>76</v>
      </c>
      <c r="B77" t="s">
        <v>400</v>
      </c>
      <c r="C77" t="s">
        <v>648</v>
      </c>
    </row>
    <row r="78" spans="1:3" x14ac:dyDescent="0.2">
      <c r="A78" t="s">
        <v>77</v>
      </c>
      <c r="B78" t="s">
        <v>401</v>
      </c>
      <c r="C78" t="s">
        <v>648</v>
      </c>
    </row>
    <row r="79" spans="1:3" x14ac:dyDescent="0.2">
      <c r="A79" t="s">
        <v>78</v>
      </c>
      <c r="B79" t="s">
        <v>402</v>
      </c>
      <c r="C79" t="s">
        <v>648</v>
      </c>
    </row>
    <row r="80" spans="1:3" x14ac:dyDescent="0.2">
      <c r="A80" t="s">
        <v>79</v>
      </c>
      <c r="B80" t="s">
        <v>403</v>
      </c>
      <c r="C80" t="s">
        <v>648</v>
      </c>
    </row>
    <row r="81" spans="1:3" x14ac:dyDescent="0.2">
      <c r="A81" t="s">
        <v>80</v>
      </c>
      <c r="B81" t="s">
        <v>404</v>
      </c>
      <c r="C81" t="s">
        <v>648</v>
      </c>
    </row>
    <row r="82" spans="1:3" x14ac:dyDescent="0.2">
      <c r="A82" t="s">
        <v>81</v>
      </c>
      <c r="B82" t="s">
        <v>405</v>
      </c>
      <c r="C82" t="s">
        <v>648</v>
      </c>
    </row>
    <row r="83" spans="1:3" x14ac:dyDescent="0.2">
      <c r="A83" t="s">
        <v>82</v>
      </c>
      <c r="B83" t="s">
        <v>406</v>
      </c>
      <c r="C83" t="s">
        <v>648</v>
      </c>
    </row>
    <row r="84" spans="1:3" x14ac:dyDescent="0.2">
      <c r="A84" t="s">
        <v>83</v>
      </c>
      <c r="B84" t="s">
        <v>407</v>
      </c>
      <c r="C84" t="s">
        <v>648</v>
      </c>
    </row>
    <row r="85" spans="1:3" x14ac:dyDescent="0.2">
      <c r="A85" t="s">
        <v>84</v>
      </c>
      <c r="B85" t="s">
        <v>408</v>
      </c>
      <c r="C85" t="s">
        <v>648</v>
      </c>
    </row>
    <row r="86" spans="1:3" x14ac:dyDescent="0.2">
      <c r="A86" t="s">
        <v>85</v>
      </c>
      <c r="B86" t="s">
        <v>409</v>
      </c>
      <c r="C86" t="s">
        <v>648</v>
      </c>
    </row>
    <row r="87" spans="1:3" x14ac:dyDescent="0.2">
      <c r="A87" t="s">
        <v>86</v>
      </c>
      <c r="B87" t="s">
        <v>410</v>
      </c>
      <c r="C87" t="s">
        <v>648</v>
      </c>
    </row>
    <row r="88" spans="1:3" x14ac:dyDescent="0.2">
      <c r="A88" t="s">
        <v>87</v>
      </c>
      <c r="B88" t="s">
        <v>411</v>
      </c>
      <c r="C88" t="s">
        <v>648</v>
      </c>
    </row>
    <row r="89" spans="1:3" x14ac:dyDescent="0.2">
      <c r="A89" t="s">
        <v>88</v>
      </c>
      <c r="B89" t="s">
        <v>412</v>
      </c>
      <c r="C89" t="s">
        <v>648</v>
      </c>
    </row>
    <row r="90" spans="1:3" x14ac:dyDescent="0.2">
      <c r="A90" t="s">
        <v>89</v>
      </c>
      <c r="B90" t="s">
        <v>413</v>
      </c>
      <c r="C90" t="s">
        <v>648</v>
      </c>
    </row>
    <row r="91" spans="1:3" x14ac:dyDescent="0.2">
      <c r="A91" t="s">
        <v>90</v>
      </c>
      <c r="B91" t="s">
        <v>414</v>
      </c>
      <c r="C91" t="s">
        <v>648</v>
      </c>
    </row>
    <row r="92" spans="1:3" x14ac:dyDescent="0.2">
      <c r="A92" t="s">
        <v>91</v>
      </c>
      <c r="B92" t="s">
        <v>415</v>
      </c>
      <c r="C92" t="s">
        <v>648</v>
      </c>
    </row>
    <row r="93" spans="1:3" x14ac:dyDescent="0.2">
      <c r="A93" t="s">
        <v>92</v>
      </c>
      <c r="B93" t="s">
        <v>416</v>
      </c>
      <c r="C93" t="s">
        <v>648</v>
      </c>
    </row>
    <row r="94" spans="1:3" x14ac:dyDescent="0.2">
      <c r="A94" t="s">
        <v>93</v>
      </c>
      <c r="B94" t="s">
        <v>417</v>
      </c>
      <c r="C94" t="s">
        <v>648</v>
      </c>
    </row>
    <row r="95" spans="1:3" x14ac:dyDescent="0.2">
      <c r="A95" t="s">
        <v>94</v>
      </c>
      <c r="B95" t="s">
        <v>418</v>
      </c>
      <c r="C95" t="s">
        <v>648</v>
      </c>
    </row>
    <row r="96" spans="1:3" x14ac:dyDescent="0.2">
      <c r="A96" t="s">
        <v>95</v>
      </c>
      <c r="B96" t="s">
        <v>419</v>
      </c>
      <c r="C96" t="s">
        <v>648</v>
      </c>
    </row>
    <row r="97" spans="1:3" x14ac:dyDescent="0.2">
      <c r="A97" t="s">
        <v>96</v>
      </c>
      <c r="B97" t="s">
        <v>420</v>
      </c>
      <c r="C97" t="s">
        <v>648</v>
      </c>
    </row>
    <row r="98" spans="1:3" x14ac:dyDescent="0.2">
      <c r="A98" t="s">
        <v>97</v>
      </c>
      <c r="B98" t="s">
        <v>421</v>
      </c>
      <c r="C98" t="s">
        <v>648</v>
      </c>
    </row>
    <row r="99" spans="1:3" x14ac:dyDescent="0.2">
      <c r="A99" t="s">
        <v>98</v>
      </c>
      <c r="B99" t="s">
        <v>422</v>
      </c>
      <c r="C99" t="s">
        <v>648</v>
      </c>
    </row>
    <row r="100" spans="1:3" x14ac:dyDescent="0.2">
      <c r="A100" t="s">
        <v>99</v>
      </c>
      <c r="B100" t="s">
        <v>423</v>
      </c>
      <c r="C100" t="s">
        <v>648</v>
      </c>
    </row>
    <row r="101" spans="1:3" x14ac:dyDescent="0.2">
      <c r="A101" t="s">
        <v>100</v>
      </c>
      <c r="B101" t="s">
        <v>424</v>
      </c>
      <c r="C101" t="s">
        <v>648</v>
      </c>
    </row>
    <row r="102" spans="1:3" x14ac:dyDescent="0.2">
      <c r="A102" t="s">
        <v>101</v>
      </c>
      <c r="B102" t="s">
        <v>425</v>
      </c>
      <c r="C102" t="s">
        <v>648</v>
      </c>
    </row>
    <row r="103" spans="1:3" x14ac:dyDescent="0.2">
      <c r="A103" t="s">
        <v>102</v>
      </c>
      <c r="B103" t="s">
        <v>426</v>
      </c>
      <c r="C103" t="s">
        <v>648</v>
      </c>
    </row>
    <row r="104" spans="1:3" x14ac:dyDescent="0.2">
      <c r="A104" t="s">
        <v>103</v>
      </c>
      <c r="B104" t="s">
        <v>427</v>
      </c>
      <c r="C104" t="s">
        <v>648</v>
      </c>
    </row>
    <row r="105" spans="1:3" x14ac:dyDescent="0.2">
      <c r="A105" t="s">
        <v>104</v>
      </c>
      <c r="B105" t="s">
        <v>428</v>
      </c>
      <c r="C105" t="s">
        <v>648</v>
      </c>
    </row>
    <row r="106" spans="1:3" x14ac:dyDescent="0.2">
      <c r="A106" t="s">
        <v>105</v>
      </c>
      <c r="B106" t="s">
        <v>429</v>
      </c>
      <c r="C106" t="s">
        <v>648</v>
      </c>
    </row>
    <row r="107" spans="1:3" x14ac:dyDescent="0.2">
      <c r="A107" t="s">
        <v>106</v>
      </c>
      <c r="B107" t="s">
        <v>430</v>
      </c>
      <c r="C107" t="s">
        <v>648</v>
      </c>
    </row>
    <row r="108" spans="1:3" x14ac:dyDescent="0.2">
      <c r="A108" t="s">
        <v>107</v>
      </c>
      <c r="B108" t="s">
        <v>431</v>
      </c>
      <c r="C108" t="s">
        <v>648</v>
      </c>
    </row>
    <row r="109" spans="1:3" x14ac:dyDescent="0.2">
      <c r="A109" t="s">
        <v>108</v>
      </c>
      <c r="B109" t="s">
        <v>432</v>
      </c>
      <c r="C109" t="s">
        <v>648</v>
      </c>
    </row>
    <row r="110" spans="1:3" x14ac:dyDescent="0.2">
      <c r="A110" t="s">
        <v>109</v>
      </c>
      <c r="B110" t="s">
        <v>433</v>
      </c>
      <c r="C110" t="s">
        <v>648</v>
      </c>
    </row>
    <row r="111" spans="1:3" x14ac:dyDescent="0.2">
      <c r="A111" t="s">
        <v>110</v>
      </c>
      <c r="B111" t="s">
        <v>434</v>
      </c>
      <c r="C111" t="s">
        <v>648</v>
      </c>
    </row>
    <row r="112" spans="1:3" x14ac:dyDescent="0.2">
      <c r="A112" t="s">
        <v>111</v>
      </c>
      <c r="B112" t="s">
        <v>435</v>
      </c>
      <c r="C112" t="s">
        <v>648</v>
      </c>
    </row>
    <row r="113" spans="1:3" x14ac:dyDescent="0.2">
      <c r="A113" t="s">
        <v>112</v>
      </c>
      <c r="B113" t="s">
        <v>436</v>
      </c>
      <c r="C113" t="s">
        <v>648</v>
      </c>
    </row>
    <row r="114" spans="1:3" x14ac:dyDescent="0.2">
      <c r="A114" t="s">
        <v>113</v>
      </c>
      <c r="B114" t="s">
        <v>437</v>
      </c>
      <c r="C114" t="s">
        <v>648</v>
      </c>
    </row>
    <row r="115" spans="1:3" x14ac:dyDescent="0.2">
      <c r="A115" t="s">
        <v>114</v>
      </c>
      <c r="B115" t="s">
        <v>438</v>
      </c>
      <c r="C115" t="s">
        <v>648</v>
      </c>
    </row>
    <row r="116" spans="1:3" x14ac:dyDescent="0.2">
      <c r="A116" t="s">
        <v>115</v>
      </c>
      <c r="B116" t="s">
        <v>439</v>
      </c>
      <c r="C116" t="s">
        <v>648</v>
      </c>
    </row>
    <row r="117" spans="1:3" x14ac:dyDescent="0.2">
      <c r="A117" t="s">
        <v>116</v>
      </c>
      <c r="B117" t="s">
        <v>440</v>
      </c>
      <c r="C117" t="s">
        <v>648</v>
      </c>
    </row>
    <row r="118" spans="1:3" x14ac:dyDescent="0.2">
      <c r="A118" t="s">
        <v>117</v>
      </c>
      <c r="B118" t="s">
        <v>441</v>
      </c>
      <c r="C118" t="s">
        <v>648</v>
      </c>
    </row>
    <row r="119" spans="1:3" x14ac:dyDescent="0.2">
      <c r="A119" t="s">
        <v>118</v>
      </c>
      <c r="B119" t="s">
        <v>442</v>
      </c>
      <c r="C119" t="s">
        <v>648</v>
      </c>
    </row>
    <row r="120" spans="1:3" x14ac:dyDescent="0.2">
      <c r="A120" t="s">
        <v>119</v>
      </c>
      <c r="B120" t="s">
        <v>443</v>
      </c>
      <c r="C120" t="s">
        <v>648</v>
      </c>
    </row>
    <row r="121" spans="1:3" x14ac:dyDescent="0.2">
      <c r="A121" t="s">
        <v>120</v>
      </c>
      <c r="B121" t="s">
        <v>444</v>
      </c>
      <c r="C121" t="s">
        <v>648</v>
      </c>
    </row>
    <row r="122" spans="1:3" x14ac:dyDescent="0.2">
      <c r="A122" t="s">
        <v>121</v>
      </c>
      <c r="B122" t="s">
        <v>445</v>
      </c>
      <c r="C122" t="s">
        <v>648</v>
      </c>
    </row>
    <row r="123" spans="1:3" x14ac:dyDescent="0.2">
      <c r="A123" t="s">
        <v>122</v>
      </c>
      <c r="B123" t="s">
        <v>446</v>
      </c>
      <c r="C123" t="s">
        <v>648</v>
      </c>
    </row>
    <row r="124" spans="1:3" x14ac:dyDescent="0.2">
      <c r="A124" t="s">
        <v>123</v>
      </c>
      <c r="B124" t="s">
        <v>447</v>
      </c>
      <c r="C124" t="s">
        <v>648</v>
      </c>
    </row>
    <row r="125" spans="1:3" x14ac:dyDescent="0.2">
      <c r="A125" t="s">
        <v>124</v>
      </c>
      <c r="B125" t="s">
        <v>448</v>
      </c>
      <c r="C125" t="s">
        <v>648</v>
      </c>
    </row>
    <row r="126" spans="1:3" x14ac:dyDescent="0.2">
      <c r="A126" t="s">
        <v>125</v>
      </c>
      <c r="B126" t="s">
        <v>449</v>
      </c>
      <c r="C126" t="s">
        <v>648</v>
      </c>
    </row>
    <row r="127" spans="1:3" x14ac:dyDescent="0.2">
      <c r="A127" t="s">
        <v>126</v>
      </c>
      <c r="B127" t="s">
        <v>450</v>
      </c>
      <c r="C127" t="s">
        <v>648</v>
      </c>
    </row>
    <row r="128" spans="1:3" x14ac:dyDescent="0.2">
      <c r="A128" t="s">
        <v>127</v>
      </c>
      <c r="B128" t="s">
        <v>451</v>
      </c>
      <c r="C128" t="s">
        <v>648</v>
      </c>
    </row>
    <row r="129" spans="1:3" x14ac:dyDescent="0.2">
      <c r="A129" t="s">
        <v>128</v>
      </c>
      <c r="B129" t="s">
        <v>452</v>
      </c>
      <c r="C129" t="s">
        <v>648</v>
      </c>
    </row>
    <row r="130" spans="1:3" x14ac:dyDescent="0.2">
      <c r="A130" t="s">
        <v>129</v>
      </c>
      <c r="B130" t="s">
        <v>453</v>
      </c>
      <c r="C130" t="s">
        <v>648</v>
      </c>
    </row>
    <row r="131" spans="1:3" x14ac:dyDescent="0.2">
      <c r="A131" t="s">
        <v>130</v>
      </c>
      <c r="B131" t="s">
        <v>454</v>
      </c>
      <c r="C131" t="s">
        <v>648</v>
      </c>
    </row>
    <row r="132" spans="1:3" x14ac:dyDescent="0.2">
      <c r="A132" t="s">
        <v>131</v>
      </c>
      <c r="B132" t="s">
        <v>455</v>
      </c>
      <c r="C132" t="s">
        <v>648</v>
      </c>
    </row>
    <row r="133" spans="1:3" x14ac:dyDescent="0.2">
      <c r="A133" t="s">
        <v>132</v>
      </c>
      <c r="B133" t="s">
        <v>456</v>
      </c>
      <c r="C133" t="s">
        <v>648</v>
      </c>
    </row>
    <row r="134" spans="1:3" x14ac:dyDescent="0.2">
      <c r="A134" t="s">
        <v>133</v>
      </c>
      <c r="B134" t="s">
        <v>457</v>
      </c>
      <c r="C134" t="s">
        <v>648</v>
      </c>
    </row>
    <row r="135" spans="1:3" x14ac:dyDescent="0.2">
      <c r="A135" t="s">
        <v>134</v>
      </c>
      <c r="B135" t="s">
        <v>458</v>
      </c>
      <c r="C135" t="s">
        <v>648</v>
      </c>
    </row>
    <row r="136" spans="1:3" x14ac:dyDescent="0.2">
      <c r="A136" t="s">
        <v>135</v>
      </c>
      <c r="B136" t="s">
        <v>459</v>
      </c>
      <c r="C136" t="s">
        <v>648</v>
      </c>
    </row>
    <row r="137" spans="1:3" x14ac:dyDescent="0.2">
      <c r="A137" t="s">
        <v>136</v>
      </c>
      <c r="B137" t="s">
        <v>460</v>
      </c>
      <c r="C137" t="s">
        <v>648</v>
      </c>
    </row>
    <row r="138" spans="1:3" x14ac:dyDescent="0.2">
      <c r="A138" t="s">
        <v>137</v>
      </c>
      <c r="B138" t="s">
        <v>461</v>
      </c>
      <c r="C138" t="s">
        <v>648</v>
      </c>
    </row>
    <row r="139" spans="1:3" x14ac:dyDescent="0.2">
      <c r="A139" t="s">
        <v>138</v>
      </c>
      <c r="B139" t="s">
        <v>462</v>
      </c>
      <c r="C139" t="s">
        <v>648</v>
      </c>
    </row>
    <row r="140" spans="1:3" x14ac:dyDescent="0.2">
      <c r="A140" t="s">
        <v>139</v>
      </c>
      <c r="B140" t="s">
        <v>463</v>
      </c>
      <c r="C140" t="s">
        <v>648</v>
      </c>
    </row>
    <row r="141" spans="1:3" x14ac:dyDescent="0.2">
      <c r="A141" t="s">
        <v>140</v>
      </c>
      <c r="B141" t="s">
        <v>464</v>
      </c>
      <c r="C141" t="s">
        <v>648</v>
      </c>
    </row>
    <row r="142" spans="1:3" x14ac:dyDescent="0.2">
      <c r="A142" t="s">
        <v>141</v>
      </c>
      <c r="B142" t="s">
        <v>465</v>
      </c>
      <c r="C142" t="s">
        <v>648</v>
      </c>
    </row>
    <row r="143" spans="1:3" x14ac:dyDescent="0.2">
      <c r="A143" t="s">
        <v>142</v>
      </c>
      <c r="B143" t="s">
        <v>466</v>
      </c>
      <c r="C143" t="s">
        <v>648</v>
      </c>
    </row>
    <row r="144" spans="1:3" x14ac:dyDescent="0.2">
      <c r="A144" t="s">
        <v>143</v>
      </c>
      <c r="B144" t="s">
        <v>467</v>
      </c>
      <c r="C144" t="s">
        <v>648</v>
      </c>
    </row>
    <row r="145" spans="1:3" x14ac:dyDescent="0.2">
      <c r="A145" t="s">
        <v>144</v>
      </c>
      <c r="B145" t="s">
        <v>468</v>
      </c>
      <c r="C145" t="s">
        <v>648</v>
      </c>
    </row>
    <row r="146" spans="1:3" x14ac:dyDescent="0.2">
      <c r="A146" t="s">
        <v>145</v>
      </c>
      <c r="B146" t="s">
        <v>469</v>
      </c>
      <c r="C146" t="s">
        <v>648</v>
      </c>
    </row>
    <row r="147" spans="1:3" x14ac:dyDescent="0.2">
      <c r="A147" t="s">
        <v>146</v>
      </c>
      <c r="B147" t="s">
        <v>470</v>
      </c>
      <c r="C147" t="s">
        <v>648</v>
      </c>
    </row>
    <row r="148" spans="1:3" x14ac:dyDescent="0.2">
      <c r="A148" t="s">
        <v>147</v>
      </c>
      <c r="B148" t="s">
        <v>471</v>
      </c>
      <c r="C148" t="s">
        <v>648</v>
      </c>
    </row>
    <row r="149" spans="1:3" x14ac:dyDescent="0.2">
      <c r="A149" t="s">
        <v>148</v>
      </c>
      <c r="B149" t="s">
        <v>472</v>
      </c>
      <c r="C149" t="s">
        <v>648</v>
      </c>
    </row>
    <row r="150" spans="1:3" x14ac:dyDescent="0.2">
      <c r="A150" t="s">
        <v>149</v>
      </c>
      <c r="B150" t="s">
        <v>473</v>
      </c>
      <c r="C150" t="s">
        <v>648</v>
      </c>
    </row>
    <row r="151" spans="1:3" x14ac:dyDescent="0.2">
      <c r="A151" t="s">
        <v>150</v>
      </c>
      <c r="B151" t="s">
        <v>474</v>
      </c>
      <c r="C151" t="s">
        <v>648</v>
      </c>
    </row>
    <row r="152" spans="1:3" x14ac:dyDescent="0.2">
      <c r="A152" t="s">
        <v>151</v>
      </c>
      <c r="B152" t="s">
        <v>475</v>
      </c>
      <c r="C152" t="s">
        <v>648</v>
      </c>
    </row>
    <row r="153" spans="1:3" x14ac:dyDescent="0.2">
      <c r="A153" t="s">
        <v>152</v>
      </c>
      <c r="B153" t="s">
        <v>476</v>
      </c>
      <c r="C153" t="s">
        <v>648</v>
      </c>
    </row>
    <row r="154" spans="1:3" x14ac:dyDescent="0.2">
      <c r="A154" t="s">
        <v>153</v>
      </c>
      <c r="B154" t="s">
        <v>477</v>
      </c>
      <c r="C154" t="s">
        <v>648</v>
      </c>
    </row>
    <row r="155" spans="1:3" x14ac:dyDescent="0.2">
      <c r="A155" t="s">
        <v>154</v>
      </c>
      <c r="B155" t="s">
        <v>478</v>
      </c>
      <c r="C155" t="s">
        <v>648</v>
      </c>
    </row>
    <row r="156" spans="1:3" x14ac:dyDescent="0.2">
      <c r="A156" t="s">
        <v>155</v>
      </c>
      <c r="B156" t="s">
        <v>479</v>
      </c>
      <c r="C156" t="s">
        <v>648</v>
      </c>
    </row>
    <row r="157" spans="1:3" x14ac:dyDescent="0.2">
      <c r="A157" t="s">
        <v>156</v>
      </c>
      <c r="B157" t="s">
        <v>480</v>
      </c>
      <c r="C157" t="s">
        <v>648</v>
      </c>
    </row>
    <row r="158" spans="1:3" x14ac:dyDescent="0.2">
      <c r="A158" t="s">
        <v>157</v>
      </c>
      <c r="B158" t="s">
        <v>481</v>
      </c>
      <c r="C158" t="s">
        <v>648</v>
      </c>
    </row>
    <row r="159" spans="1:3" x14ac:dyDescent="0.2">
      <c r="A159" t="s">
        <v>158</v>
      </c>
      <c r="B159" t="s">
        <v>482</v>
      </c>
      <c r="C159" t="s">
        <v>648</v>
      </c>
    </row>
    <row r="160" spans="1:3" x14ac:dyDescent="0.2">
      <c r="A160" t="s">
        <v>159</v>
      </c>
      <c r="B160" t="s">
        <v>483</v>
      </c>
      <c r="C160" t="s">
        <v>648</v>
      </c>
    </row>
    <row r="161" spans="1:3" x14ac:dyDescent="0.2">
      <c r="A161" t="s">
        <v>160</v>
      </c>
      <c r="B161" t="s">
        <v>484</v>
      </c>
      <c r="C161" t="s">
        <v>648</v>
      </c>
    </row>
    <row r="162" spans="1:3" x14ac:dyDescent="0.2">
      <c r="A162" t="s">
        <v>161</v>
      </c>
      <c r="B162" t="s">
        <v>485</v>
      </c>
      <c r="C162" t="s">
        <v>648</v>
      </c>
    </row>
    <row r="163" spans="1:3" x14ac:dyDescent="0.2">
      <c r="A163" t="s">
        <v>162</v>
      </c>
      <c r="B163" t="s">
        <v>486</v>
      </c>
      <c r="C163" t="s">
        <v>648</v>
      </c>
    </row>
    <row r="164" spans="1:3" x14ac:dyDescent="0.2">
      <c r="A164" t="s">
        <v>163</v>
      </c>
      <c r="B164" t="s">
        <v>487</v>
      </c>
      <c r="C164" t="s">
        <v>648</v>
      </c>
    </row>
    <row r="165" spans="1:3" x14ac:dyDescent="0.2">
      <c r="A165" t="s">
        <v>164</v>
      </c>
      <c r="B165" t="s">
        <v>488</v>
      </c>
      <c r="C165" t="s">
        <v>648</v>
      </c>
    </row>
    <row r="166" spans="1:3" x14ac:dyDescent="0.2">
      <c r="A166" t="s">
        <v>165</v>
      </c>
      <c r="B166" t="s">
        <v>489</v>
      </c>
      <c r="C166" t="s">
        <v>648</v>
      </c>
    </row>
    <row r="167" spans="1:3" x14ac:dyDescent="0.2">
      <c r="A167" t="s">
        <v>166</v>
      </c>
      <c r="B167" t="s">
        <v>490</v>
      </c>
      <c r="C167" t="s">
        <v>648</v>
      </c>
    </row>
    <row r="168" spans="1:3" x14ac:dyDescent="0.2">
      <c r="A168" t="s">
        <v>167</v>
      </c>
      <c r="B168" t="s">
        <v>491</v>
      </c>
      <c r="C168" t="s">
        <v>648</v>
      </c>
    </row>
    <row r="169" spans="1:3" x14ac:dyDescent="0.2">
      <c r="A169" t="s">
        <v>168</v>
      </c>
      <c r="B169" t="s">
        <v>492</v>
      </c>
      <c r="C169" t="s">
        <v>648</v>
      </c>
    </row>
    <row r="170" spans="1:3" x14ac:dyDescent="0.2">
      <c r="A170" t="s">
        <v>169</v>
      </c>
      <c r="B170" t="s">
        <v>493</v>
      </c>
      <c r="C170" t="s">
        <v>648</v>
      </c>
    </row>
    <row r="171" spans="1:3" x14ac:dyDescent="0.2">
      <c r="A171" t="s">
        <v>170</v>
      </c>
      <c r="B171" t="s">
        <v>494</v>
      </c>
      <c r="C171" t="s">
        <v>648</v>
      </c>
    </row>
    <row r="172" spans="1:3" x14ac:dyDescent="0.2">
      <c r="A172" t="s">
        <v>171</v>
      </c>
      <c r="B172" t="s">
        <v>495</v>
      </c>
      <c r="C172" t="s">
        <v>648</v>
      </c>
    </row>
    <row r="173" spans="1:3" x14ac:dyDescent="0.2">
      <c r="A173" t="s">
        <v>172</v>
      </c>
      <c r="B173" t="s">
        <v>496</v>
      </c>
      <c r="C173" t="s">
        <v>648</v>
      </c>
    </row>
    <row r="174" spans="1:3" x14ac:dyDescent="0.2">
      <c r="A174" t="s">
        <v>173</v>
      </c>
      <c r="B174" t="s">
        <v>497</v>
      </c>
      <c r="C174" t="s">
        <v>648</v>
      </c>
    </row>
    <row r="175" spans="1:3" x14ac:dyDescent="0.2">
      <c r="A175" t="s">
        <v>174</v>
      </c>
      <c r="B175" t="s">
        <v>498</v>
      </c>
      <c r="C175" t="s">
        <v>648</v>
      </c>
    </row>
    <row r="176" spans="1:3" x14ac:dyDescent="0.2">
      <c r="A176" t="s">
        <v>175</v>
      </c>
      <c r="B176" t="s">
        <v>499</v>
      </c>
      <c r="C176" t="s">
        <v>648</v>
      </c>
    </row>
    <row r="177" spans="1:3" x14ac:dyDescent="0.2">
      <c r="A177" t="s">
        <v>176</v>
      </c>
      <c r="B177" t="s">
        <v>500</v>
      </c>
      <c r="C177" t="s">
        <v>648</v>
      </c>
    </row>
    <row r="178" spans="1:3" x14ac:dyDescent="0.2">
      <c r="A178" t="s">
        <v>177</v>
      </c>
      <c r="B178" t="s">
        <v>501</v>
      </c>
      <c r="C178" t="s">
        <v>648</v>
      </c>
    </row>
    <row r="179" spans="1:3" x14ac:dyDescent="0.2">
      <c r="A179" t="s">
        <v>178</v>
      </c>
      <c r="B179" t="s">
        <v>502</v>
      </c>
      <c r="C179" t="s">
        <v>648</v>
      </c>
    </row>
    <row r="180" spans="1:3" x14ac:dyDescent="0.2">
      <c r="A180" t="s">
        <v>179</v>
      </c>
      <c r="B180" t="s">
        <v>503</v>
      </c>
      <c r="C180" t="s">
        <v>648</v>
      </c>
    </row>
    <row r="181" spans="1:3" x14ac:dyDescent="0.2">
      <c r="A181" t="s">
        <v>180</v>
      </c>
      <c r="B181" t="s">
        <v>504</v>
      </c>
      <c r="C181" t="s">
        <v>648</v>
      </c>
    </row>
    <row r="182" spans="1:3" x14ac:dyDescent="0.2">
      <c r="A182" t="s">
        <v>181</v>
      </c>
      <c r="B182" t="s">
        <v>505</v>
      </c>
      <c r="C182" t="s">
        <v>648</v>
      </c>
    </row>
    <row r="183" spans="1:3" x14ac:dyDescent="0.2">
      <c r="A183" t="s">
        <v>182</v>
      </c>
      <c r="B183" t="s">
        <v>506</v>
      </c>
      <c r="C183" t="s">
        <v>648</v>
      </c>
    </row>
    <row r="184" spans="1:3" x14ac:dyDescent="0.2">
      <c r="A184" t="s">
        <v>183</v>
      </c>
      <c r="B184" t="s">
        <v>507</v>
      </c>
      <c r="C184" t="s">
        <v>648</v>
      </c>
    </row>
    <row r="185" spans="1:3" x14ac:dyDescent="0.2">
      <c r="A185" t="s">
        <v>184</v>
      </c>
      <c r="B185" t="s">
        <v>508</v>
      </c>
      <c r="C185" t="s">
        <v>648</v>
      </c>
    </row>
    <row r="186" spans="1:3" x14ac:dyDescent="0.2">
      <c r="A186" t="s">
        <v>185</v>
      </c>
      <c r="B186" t="s">
        <v>509</v>
      </c>
      <c r="C186" t="s">
        <v>648</v>
      </c>
    </row>
    <row r="187" spans="1:3" x14ac:dyDescent="0.2">
      <c r="A187" t="s">
        <v>186</v>
      </c>
      <c r="B187" t="s">
        <v>510</v>
      </c>
      <c r="C187" t="s">
        <v>648</v>
      </c>
    </row>
    <row r="188" spans="1:3" x14ac:dyDescent="0.2">
      <c r="A188" t="s">
        <v>187</v>
      </c>
      <c r="B188" t="s">
        <v>511</v>
      </c>
      <c r="C188" t="s">
        <v>648</v>
      </c>
    </row>
    <row r="189" spans="1:3" x14ac:dyDescent="0.2">
      <c r="A189" t="s">
        <v>188</v>
      </c>
      <c r="B189" t="s">
        <v>512</v>
      </c>
      <c r="C189" t="s">
        <v>648</v>
      </c>
    </row>
    <row r="190" spans="1:3" x14ac:dyDescent="0.2">
      <c r="A190" t="s">
        <v>189</v>
      </c>
      <c r="B190" t="s">
        <v>513</v>
      </c>
      <c r="C190" t="s">
        <v>648</v>
      </c>
    </row>
    <row r="191" spans="1:3" x14ac:dyDescent="0.2">
      <c r="A191" t="s">
        <v>190</v>
      </c>
      <c r="B191" t="s">
        <v>514</v>
      </c>
      <c r="C191" t="s">
        <v>648</v>
      </c>
    </row>
    <row r="192" spans="1:3" x14ac:dyDescent="0.2">
      <c r="A192" t="s">
        <v>191</v>
      </c>
      <c r="B192" t="s">
        <v>515</v>
      </c>
      <c r="C192" t="s">
        <v>648</v>
      </c>
    </row>
    <row r="193" spans="1:3" x14ac:dyDescent="0.2">
      <c r="A193" t="s">
        <v>192</v>
      </c>
      <c r="B193" t="s">
        <v>516</v>
      </c>
      <c r="C193" t="s">
        <v>648</v>
      </c>
    </row>
    <row r="194" spans="1:3" x14ac:dyDescent="0.2">
      <c r="A194" t="s">
        <v>193</v>
      </c>
      <c r="B194" t="s">
        <v>517</v>
      </c>
      <c r="C194" t="s">
        <v>648</v>
      </c>
    </row>
    <row r="195" spans="1:3" x14ac:dyDescent="0.2">
      <c r="A195" t="s">
        <v>194</v>
      </c>
      <c r="B195" t="s">
        <v>518</v>
      </c>
      <c r="C195" t="s">
        <v>648</v>
      </c>
    </row>
    <row r="196" spans="1:3" x14ac:dyDescent="0.2">
      <c r="A196" t="s">
        <v>195</v>
      </c>
      <c r="B196" t="s">
        <v>519</v>
      </c>
      <c r="C196" t="s">
        <v>648</v>
      </c>
    </row>
    <row r="197" spans="1:3" x14ac:dyDescent="0.2">
      <c r="A197" t="s">
        <v>196</v>
      </c>
      <c r="B197" t="s">
        <v>520</v>
      </c>
      <c r="C197" t="s">
        <v>648</v>
      </c>
    </row>
    <row r="198" spans="1:3" x14ac:dyDescent="0.2">
      <c r="A198" t="s">
        <v>197</v>
      </c>
      <c r="B198" t="s">
        <v>521</v>
      </c>
      <c r="C198" t="s">
        <v>648</v>
      </c>
    </row>
    <row r="199" spans="1:3" x14ac:dyDescent="0.2">
      <c r="A199" t="s">
        <v>198</v>
      </c>
      <c r="B199" t="s">
        <v>522</v>
      </c>
      <c r="C199" t="s">
        <v>648</v>
      </c>
    </row>
    <row r="200" spans="1:3" x14ac:dyDescent="0.2">
      <c r="A200" t="s">
        <v>199</v>
      </c>
      <c r="B200" t="s">
        <v>523</v>
      </c>
      <c r="C200" t="s">
        <v>648</v>
      </c>
    </row>
    <row r="201" spans="1:3" x14ac:dyDescent="0.2">
      <c r="A201" t="s">
        <v>200</v>
      </c>
      <c r="B201" t="s">
        <v>524</v>
      </c>
      <c r="C201" t="s">
        <v>648</v>
      </c>
    </row>
    <row r="202" spans="1:3" x14ac:dyDescent="0.2">
      <c r="A202" t="s">
        <v>201</v>
      </c>
      <c r="B202" t="s">
        <v>525</v>
      </c>
      <c r="C202" t="s">
        <v>648</v>
      </c>
    </row>
    <row r="203" spans="1:3" x14ac:dyDescent="0.2">
      <c r="A203" t="s">
        <v>202</v>
      </c>
      <c r="B203" t="s">
        <v>526</v>
      </c>
      <c r="C203" t="s">
        <v>648</v>
      </c>
    </row>
    <row r="204" spans="1:3" x14ac:dyDescent="0.2">
      <c r="A204" t="s">
        <v>203</v>
      </c>
      <c r="B204" t="s">
        <v>527</v>
      </c>
      <c r="C204" t="s">
        <v>648</v>
      </c>
    </row>
    <row r="205" spans="1:3" x14ac:dyDescent="0.2">
      <c r="A205" t="s">
        <v>204</v>
      </c>
      <c r="B205" t="s">
        <v>528</v>
      </c>
      <c r="C205" t="s">
        <v>648</v>
      </c>
    </row>
    <row r="206" spans="1:3" x14ac:dyDescent="0.2">
      <c r="A206" t="s">
        <v>205</v>
      </c>
      <c r="B206" t="s">
        <v>529</v>
      </c>
      <c r="C206" t="s">
        <v>648</v>
      </c>
    </row>
    <row r="207" spans="1:3" x14ac:dyDescent="0.2">
      <c r="A207" t="s">
        <v>206</v>
      </c>
      <c r="B207" t="s">
        <v>530</v>
      </c>
      <c r="C207" t="s">
        <v>648</v>
      </c>
    </row>
    <row r="208" spans="1:3" x14ac:dyDescent="0.2">
      <c r="A208" t="s">
        <v>207</v>
      </c>
      <c r="B208" t="s">
        <v>531</v>
      </c>
      <c r="C208" t="s">
        <v>648</v>
      </c>
    </row>
    <row r="209" spans="1:3" x14ac:dyDescent="0.2">
      <c r="A209" t="s">
        <v>208</v>
      </c>
      <c r="B209" t="s">
        <v>532</v>
      </c>
      <c r="C209" t="s">
        <v>648</v>
      </c>
    </row>
    <row r="210" spans="1:3" x14ac:dyDescent="0.2">
      <c r="A210" t="s">
        <v>209</v>
      </c>
      <c r="B210" t="s">
        <v>533</v>
      </c>
      <c r="C210" t="s">
        <v>648</v>
      </c>
    </row>
    <row r="211" spans="1:3" x14ac:dyDescent="0.2">
      <c r="A211" t="s">
        <v>210</v>
      </c>
      <c r="B211" t="s">
        <v>534</v>
      </c>
      <c r="C211" t="s">
        <v>648</v>
      </c>
    </row>
    <row r="212" spans="1:3" x14ac:dyDescent="0.2">
      <c r="A212" t="s">
        <v>211</v>
      </c>
      <c r="B212" t="s">
        <v>535</v>
      </c>
      <c r="C212" t="s">
        <v>648</v>
      </c>
    </row>
    <row r="213" spans="1:3" x14ac:dyDescent="0.2">
      <c r="A213" t="s">
        <v>212</v>
      </c>
      <c r="B213" t="s">
        <v>536</v>
      </c>
      <c r="C213" t="s">
        <v>648</v>
      </c>
    </row>
    <row r="214" spans="1:3" x14ac:dyDescent="0.2">
      <c r="A214" t="s">
        <v>213</v>
      </c>
      <c r="B214" t="s">
        <v>537</v>
      </c>
      <c r="C214" t="s">
        <v>648</v>
      </c>
    </row>
    <row r="215" spans="1:3" x14ac:dyDescent="0.2">
      <c r="A215" t="s">
        <v>214</v>
      </c>
      <c r="B215" t="s">
        <v>538</v>
      </c>
      <c r="C215" t="s">
        <v>648</v>
      </c>
    </row>
    <row r="216" spans="1:3" x14ac:dyDescent="0.2">
      <c r="A216" t="s">
        <v>215</v>
      </c>
      <c r="B216" t="s">
        <v>539</v>
      </c>
      <c r="C216" t="s">
        <v>648</v>
      </c>
    </row>
    <row r="217" spans="1:3" x14ac:dyDescent="0.2">
      <c r="A217" t="s">
        <v>216</v>
      </c>
      <c r="B217" t="s">
        <v>540</v>
      </c>
      <c r="C217" t="s">
        <v>648</v>
      </c>
    </row>
    <row r="218" spans="1:3" x14ac:dyDescent="0.2">
      <c r="A218" t="s">
        <v>217</v>
      </c>
      <c r="B218" t="s">
        <v>541</v>
      </c>
      <c r="C218" t="s">
        <v>648</v>
      </c>
    </row>
    <row r="219" spans="1:3" x14ac:dyDescent="0.2">
      <c r="A219" t="s">
        <v>218</v>
      </c>
      <c r="B219" t="s">
        <v>542</v>
      </c>
      <c r="C219" t="s">
        <v>648</v>
      </c>
    </row>
    <row r="220" spans="1:3" x14ac:dyDescent="0.2">
      <c r="A220" t="s">
        <v>219</v>
      </c>
      <c r="B220" t="s">
        <v>543</v>
      </c>
      <c r="C220" t="s">
        <v>648</v>
      </c>
    </row>
    <row r="221" spans="1:3" x14ac:dyDescent="0.2">
      <c r="A221" t="s">
        <v>220</v>
      </c>
      <c r="B221" t="s">
        <v>544</v>
      </c>
      <c r="C221" t="s">
        <v>648</v>
      </c>
    </row>
    <row r="222" spans="1:3" x14ac:dyDescent="0.2">
      <c r="A222" t="s">
        <v>221</v>
      </c>
      <c r="B222" t="s">
        <v>545</v>
      </c>
      <c r="C222" t="s">
        <v>648</v>
      </c>
    </row>
    <row r="223" spans="1:3" x14ac:dyDescent="0.2">
      <c r="A223" t="s">
        <v>222</v>
      </c>
      <c r="B223" t="s">
        <v>546</v>
      </c>
      <c r="C223" t="s">
        <v>648</v>
      </c>
    </row>
    <row r="224" spans="1:3" x14ac:dyDescent="0.2">
      <c r="A224" t="s">
        <v>223</v>
      </c>
      <c r="B224" t="s">
        <v>547</v>
      </c>
      <c r="C224" t="s">
        <v>648</v>
      </c>
    </row>
    <row r="225" spans="1:3" x14ac:dyDescent="0.2">
      <c r="A225" t="s">
        <v>224</v>
      </c>
      <c r="B225" t="s">
        <v>548</v>
      </c>
      <c r="C225" t="s">
        <v>648</v>
      </c>
    </row>
    <row r="226" spans="1:3" x14ac:dyDescent="0.2">
      <c r="A226" t="s">
        <v>225</v>
      </c>
      <c r="B226" t="s">
        <v>549</v>
      </c>
      <c r="C226" t="s">
        <v>648</v>
      </c>
    </row>
    <row r="227" spans="1:3" x14ac:dyDescent="0.2">
      <c r="A227" t="s">
        <v>226</v>
      </c>
      <c r="B227" t="s">
        <v>550</v>
      </c>
      <c r="C227" t="s">
        <v>648</v>
      </c>
    </row>
    <row r="228" spans="1:3" x14ac:dyDescent="0.2">
      <c r="A228" t="s">
        <v>227</v>
      </c>
      <c r="B228" t="s">
        <v>551</v>
      </c>
      <c r="C228" t="s">
        <v>648</v>
      </c>
    </row>
    <row r="229" spans="1:3" x14ac:dyDescent="0.2">
      <c r="A229" t="s">
        <v>228</v>
      </c>
      <c r="B229" t="s">
        <v>552</v>
      </c>
      <c r="C229" t="s">
        <v>648</v>
      </c>
    </row>
    <row r="230" spans="1:3" x14ac:dyDescent="0.2">
      <c r="A230" t="s">
        <v>229</v>
      </c>
      <c r="B230" t="s">
        <v>553</v>
      </c>
      <c r="C230" t="s">
        <v>648</v>
      </c>
    </row>
    <row r="231" spans="1:3" x14ac:dyDescent="0.2">
      <c r="A231" t="s">
        <v>230</v>
      </c>
      <c r="B231" t="s">
        <v>554</v>
      </c>
      <c r="C231" t="s">
        <v>648</v>
      </c>
    </row>
    <row r="232" spans="1:3" x14ac:dyDescent="0.2">
      <c r="A232" t="s">
        <v>231</v>
      </c>
      <c r="B232" t="s">
        <v>555</v>
      </c>
      <c r="C232" t="s">
        <v>648</v>
      </c>
    </row>
    <row r="233" spans="1:3" x14ac:dyDescent="0.2">
      <c r="A233" t="s">
        <v>232</v>
      </c>
      <c r="B233" t="s">
        <v>556</v>
      </c>
      <c r="C233" t="s">
        <v>648</v>
      </c>
    </row>
    <row r="234" spans="1:3" x14ac:dyDescent="0.2">
      <c r="A234" t="s">
        <v>233</v>
      </c>
      <c r="B234" t="s">
        <v>557</v>
      </c>
      <c r="C234" t="s">
        <v>648</v>
      </c>
    </row>
    <row r="235" spans="1:3" x14ac:dyDescent="0.2">
      <c r="A235" t="s">
        <v>234</v>
      </c>
      <c r="B235" t="s">
        <v>558</v>
      </c>
      <c r="C235" t="s">
        <v>648</v>
      </c>
    </row>
    <row r="236" spans="1:3" x14ac:dyDescent="0.2">
      <c r="A236" t="s">
        <v>235</v>
      </c>
      <c r="B236" t="s">
        <v>559</v>
      </c>
      <c r="C236" t="s">
        <v>648</v>
      </c>
    </row>
    <row r="237" spans="1:3" x14ac:dyDescent="0.2">
      <c r="A237" t="s">
        <v>236</v>
      </c>
      <c r="B237" t="s">
        <v>560</v>
      </c>
      <c r="C237" t="s">
        <v>648</v>
      </c>
    </row>
    <row r="238" spans="1:3" x14ac:dyDescent="0.2">
      <c r="A238" t="s">
        <v>237</v>
      </c>
      <c r="B238" t="s">
        <v>561</v>
      </c>
      <c r="C238" t="s">
        <v>648</v>
      </c>
    </row>
    <row r="239" spans="1:3" x14ac:dyDescent="0.2">
      <c r="A239" t="s">
        <v>238</v>
      </c>
      <c r="B239" t="s">
        <v>562</v>
      </c>
      <c r="C239" t="s">
        <v>648</v>
      </c>
    </row>
    <row r="240" spans="1:3" x14ac:dyDescent="0.2">
      <c r="A240" t="s">
        <v>239</v>
      </c>
      <c r="B240" t="s">
        <v>563</v>
      </c>
      <c r="C240" t="s">
        <v>648</v>
      </c>
    </row>
    <row r="241" spans="1:3" x14ac:dyDescent="0.2">
      <c r="A241" t="s">
        <v>240</v>
      </c>
      <c r="B241" t="s">
        <v>564</v>
      </c>
      <c r="C241" t="s">
        <v>648</v>
      </c>
    </row>
    <row r="242" spans="1:3" x14ac:dyDescent="0.2">
      <c r="A242" t="s">
        <v>241</v>
      </c>
      <c r="B242" t="s">
        <v>565</v>
      </c>
      <c r="C242" t="s">
        <v>648</v>
      </c>
    </row>
    <row r="243" spans="1:3" x14ac:dyDescent="0.2">
      <c r="A243" t="s">
        <v>242</v>
      </c>
      <c r="B243" t="s">
        <v>566</v>
      </c>
      <c r="C243" t="s">
        <v>648</v>
      </c>
    </row>
    <row r="244" spans="1:3" x14ac:dyDescent="0.2">
      <c r="A244" t="s">
        <v>243</v>
      </c>
      <c r="B244" t="s">
        <v>567</v>
      </c>
      <c r="C244" t="s">
        <v>648</v>
      </c>
    </row>
    <row r="245" spans="1:3" x14ac:dyDescent="0.2">
      <c r="A245" t="s">
        <v>244</v>
      </c>
      <c r="B245" t="s">
        <v>568</v>
      </c>
      <c r="C245" t="s">
        <v>648</v>
      </c>
    </row>
    <row r="246" spans="1:3" x14ac:dyDescent="0.2">
      <c r="A246" t="s">
        <v>245</v>
      </c>
      <c r="B246" t="s">
        <v>569</v>
      </c>
      <c r="C246" t="s">
        <v>648</v>
      </c>
    </row>
    <row r="247" spans="1:3" x14ac:dyDescent="0.2">
      <c r="A247" t="s">
        <v>246</v>
      </c>
      <c r="B247" t="s">
        <v>570</v>
      </c>
      <c r="C247" t="s">
        <v>648</v>
      </c>
    </row>
    <row r="248" spans="1:3" x14ac:dyDescent="0.2">
      <c r="A248" t="s">
        <v>247</v>
      </c>
      <c r="B248" t="s">
        <v>571</v>
      </c>
      <c r="C248" t="s">
        <v>648</v>
      </c>
    </row>
    <row r="249" spans="1:3" x14ac:dyDescent="0.2">
      <c r="A249" t="s">
        <v>248</v>
      </c>
      <c r="B249" t="s">
        <v>572</v>
      </c>
      <c r="C249" t="s">
        <v>648</v>
      </c>
    </row>
    <row r="250" spans="1:3" x14ac:dyDescent="0.2">
      <c r="A250" t="s">
        <v>249</v>
      </c>
      <c r="B250" t="s">
        <v>573</v>
      </c>
      <c r="C250" t="s">
        <v>648</v>
      </c>
    </row>
    <row r="251" spans="1:3" x14ac:dyDescent="0.2">
      <c r="A251" t="s">
        <v>250</v>
      </c>
      <c r="B251" t="s">
        <v>574</v>
      </c>
      <c r="C251" t="s">
        <v>648</v>
      </c>
    </row>
    <row r="252" spans="1:3" x14ac:dyDescent="0.2">
      <c r="A252" t="s">
        <v>251</v>
      </c>
      <c r="B252" t="s">
        <v>575</v>
      </c>
      <c r="C252" t="s">
        <v>648</v>
      </c>
    </row>
    <row r="253" spans="1:3" x14ac:dyDescent="0.2">
      <c r="A253" t="s">
        <v>252</v>
      </c>
      <c r="B253" t="s">
        <v>576</v>
      </c>
      <c r="C253" t="s">
        <v>648</v>
      </c>
    </row>
    <row r="254" spans="1:3" x14ac:dyDescent="0.2">
      <c r="A254" t="s">
        <v>253</v>
      </c>
      <c r="B254" t="s">
        <v>577</v>
      </c>
      <c r="C254" t="s">
        <v>648</v>
      </c>
    </row>
    <row r="255" spans="1:3" x14ac:dyDescent="0.2">
      <c r="A255" t="s">
        <v>254</v>
      </c>
      <c r="B255" t="s">
        <v>578</v>
      </c>
      <c r="C255" t="s">
        <v>648</v>
      </c>
    </row>
    <row r="256" spans="1:3" x14ac:dyDescent="0.2">
      <c r="A256" t="s">
        <v>255</v>
      </c>
      <c r="B256" t="s">
        <v>579</v>
      </c>
      <c r="C256" t="s">
        <v>648</v>
      </c>
    </row>
    <row r="257" spans="1:3" x14ac:dyDescent="0.2">
      <c r="A257" t="s">
        <v>256</v>
      </c>
      <c r="B257" t="s">
        <v>580</v>
      </c>
      <c r="C257" t="s">
        <v>648</v>
      </c>
    </row>
    <row r="258" spans="1:3" x14ac:dyDescent="0.2">
      <c r="A258" t="s">
        <v>257</v>
      </c>
      <c r="B258" t="s">
        <v>581</v>
      </c>
      <c r="C258" t="s">
        <v>648</v>
      </c>
    </row>
    <row r="259" spans="1:3" x14ac:dyDescent="0.2">
      <c r="A259" t="s">
        <v>258</v>
      </c>
      <c r="B259" t="s">
        <v>582</v>
      </c>
      <c r="C259" t="s">
        <v>648</v>
      </c>
    </row>
    <row r="260" spans="1:3" x14ac:dyDescent="0.2">
      <c r="A260" t="s">
        <v>259</v>
      </c>
      <c r="B260" t="s">
        <v>583</v>
      </c>
      <c r="C260" t="s">
        <v>648</v>
      </c>
    </row>
    <row r="261" spans="1:3" x14ac:dyDescent="0.2">
      <c r="A261" t="s">
        <v>260</v>
      </c>
      <c r="B261" t="s">
        <v>584</v>
      </c>
      <c r="C261" t="s">
        <v>648</v>
      </c>
    </row>
    <row r="262" spans="1:3" x14ac:dyDescent="0.2">
      <c r="A262" t="s">
        <v>261</v>
      </c>
      <c r="B262" t="s">
        <v>585</v>
      </c>
      <c r="C262" t="s">
        <v>648</v>
      </c>
    </row>
    <row r="263" spans="1:3" x14ac:dyDescent="0.2">
      <c r="A263" t="s">
        <v>262</v>
      </c>
      <c r="B263" t="s">
        <v>586</v>
      </c>
      <c r="C263" t="s">
        <v>648</v>
      </c>
    </row>
    <row r="264" spans="1:3" x14ac:dyDescent="0.2">
      <c r="A264" t="s">
        <v>263</v>
      </c>
      <c r="B264" t="s">
        <v>587</v>
      </c>
      <c r="C264" t="s">
        <v>648</v>
      </c>
    </row>
    <row r="265" spans="1:3" x14ac:dyDescent="0.2">
      <c r="A265" t="s">
        <v>264</v>
      </c>
      <c r="B265" t="s">
        <v>588</v>
      </c>
      <c r="C265" t="s">
        <v>648</v>
      </c>
    </row>
    <row r="266" spans="1:3" x14ac:dyDescent="0.2">
      <c r="A266" t="s">
        <v>265</v>
      </c>
      <c r="B266" t="s">
        <v>589</v>
      </c>
      <c r="C266" t="s">
        <v>648</v>
      </c>
    </row>
    <row r="267" spans="1:3" x14ac:dyDescent="0.2">
      <c r="A267" t="s">
        <v>266</v>
      </c>
      <c r="B267" t="s">
        <v>590</v>
      </c>
      <c r="C267" t="s">
        <v>648</v>
      </c>
    </row>
    <row r="268" spans="1:3" x14ac:dyDescent="0.2">
      <c r="A268" t="s">
        <v>267</v>
      </c>
      <c r="B268" t="s">
        <v>591</v>
      </c>
      <c r="C268" t="s">
        <v>648</v>
      </c>
    </row>
    <row r="269" spans="1:3" x14ac:dyDescent="0.2">
      <c r="A269" t="s">
        <v>268</v>
      </c>
      <c r="B269" t="s">
        <v>592</v>
      </c>
      <c r="C269" t="s">
        <v>648</v>
      </c>
    </row>
    <row r="270" spans="1:3" x14ac:dyDescent="0.2">
      <c r="A270" t="s">
        <v>269</v>
      </c>
      <c r="B270" t="s">
        <v>593</v>
      </c>
      <c r="C270" t="s">
        <v>648</v>
      </c>
    </row>
    <row r="271" spans="1:3" x14ac:dyDescent="0.2">
      <c r="A271" t="s">
        <v>270</v>
      </c>
      <c r="B271" t="s">
        <v>594</v>
      </c>
      <c r="C271" t="s">
        <v>648</v>
      </c>
    </row>
    <row r="272" spans="1:3" x14ac:dyDescent="0.2">
      <c r="A272" t="s">
        <v>271</v>
      </c>
      <c r="B272" t="s">
        <v>595</v>
      </c>
      <c r="C272" t="s">
        <v>648</v>
      </c>
    </row>
    <row r="273" spans="1:3" x14ac:dyDescent="0.2">
      <c r="A273" t="s">
        <v>272</v>
      </c>
      <c r="B273" t="s">
        <v>596</v>
      </c>
      <c r="C273" t="s">
        <v>648</v>
      </c>
    </row>
    <row r="274" spans="1:3" x14ac:dyDescent="0.2">
      <c r="A274" t="s">
        <v>273</v>
      </c>
      <c r="B274" t="s">
        <v>597</v>
      </c>
      <c r="C274" t="s">
        <v>648</v>
      </c>
    </row>
    <row r="275" spans="1:3" x14ac:dyDescent="0.2">
      <c r="A275" t="s">
        <v>274</v>
      </c>
      <c r="B275" t="s">
        <v>598</v>
      </c>
      <c r="C275" t="s">
        <v>648</v>
      </c>
    </row>
    <row r="276" spans="1:3" x14ac:dyDescent="0.2">
      <c r="A276" t="s">
        <v>275</v>
      </c>
      <c r="B276" t="s">
        <v>599</v>
      </c>
      <c r="C276" t="s">
        <v>648</v>
      </c>
    </row>
    <row r="277" spans="1:3" x14ac:dyDescent="0.2">
      <c r="A277" t="s">
        <v>276</v>
      </c>
      <c r="B277" t="s">
        <v>600</v>
      </c>
      <c r="C277" t="s">
        <v>648</v>
      </c>
    </row>
    <row r="278" spans="1:3" x14ac:dyDescent="0.2">
      <c r="A278" t="s">
        <v>277</v>
      </c>
      <c r="B278" t="s">
        <v>601</v>
      </c>
      <c r="C278" t="s">
        <v>648</v>
      </c>
    </row>
    <row r="279" spans="1:3" x14ac:dyDescent="0.2">
      <c r="A279" t="s">
        <v>278</v>
      </c>
      <c r="B279" t="s">
        <v>602</v>
      </c>
      <c r="C279" t="s">
        <v>648</v>
      </c>
    </row>
    <row r="280" spans="1:3" x14ac:dyDescent="0.2">
      <c r="A280" t="s">
        <v>279</v>
      </c>
      <c r="B280" t="s">
        <v>603</v>
      </c>
      <c r="C280" t="s">
        <v>648</v>
      </c>
    </row>
    <row r="281" spans="1:3" x14ac:dyDescent="0.2">
      <c r="A281" t="s">
        <v>280</v>
      </c>
      <c r="B281" t="s">
        <v>604</v>
      </c>
      <c r="C281" t="s">
        <v>648</v>
      </c>
    </row>
    <row r="282" spans="1:3" x14ac:dyDescent="0.2">
      <c r="A282" t="s">
        <v>281</v>
      </c>
      <c r="B282" t="s">
        <v>605</v>
      </c>
      <c r="C282" t="s">
        <v>648</v>
      </c>
    </row>
    <row r="283" spans="1:3" x14ac:dyDescent="0.2">
      <c r="A283" t="s">
        <v>282</v>
      </c>
      <c r="B283" t="s">
        <v>606</v>
      </c>
      <c r="C283" t="s">
        <v>648</v>
      </c>
    </row>
    <row r="284" spans="1:3" x14ac:dyDescent="0.2">
      <c r="A284" t="s">
        <v>283</v>
      </c>
      <c r="B284" t="s">
        <v>607</v>
      </c>
      <c r="C284" t="s">
        <v>648</v>
      </c>
    </row>
    <row r="285" spans="1:3" x14ac:dyDescent="0.2">
      <c r="A285" t="s">
        <v>284</v>
      </c>
      <c r="B285" t="s">
        <v>608</v>
      </c>
      <c r="C285" t="s">
        <v>648</v>
      </c>
    </row>
    <row r="286" spans="1:3" x14ac:dyDescent="0.2">
      <c r="A286" t="s">
        <v>285</v>
      </c>
      <c r="B286" t="s">
        <v>609</v>
      </c>
      <c r="C286" t="s">
        <v>648</v>
      </c>
    </row>
    <row r="287" spans="1:3" x14ac:dyDescent="0.2">
      <c r="A287" t="s">
        <v>286</v>
      </c>
      <c r="B287" t="s">
        <v>610</v>
      </c>
      <c r="C287" t="s">
        <v>648</v>
      </c>
    </row>
    <row r="288" spans="1:3" x14ac:dyDescent="0.2">
      <c r="A288" t="s">
        <v>287</v>
      </c>
      <c r="B288" t="s">
        <v>611</v>
      </c>
      <c r="C288" t="s">
        <v>648</v>
      </c>
    </row>
    <row r="289" spans="1:3" x14ac:dyDescent="0.2">
      <c r="A289" t="s">
        <v>288</v>
      </c>
      <c r="B289" t="s">
        <v>612</v>
      </c>
      <c r="C289" t="s">
        <v>648</v>
      </c>
    </row>
    <row r="290" spans="1:3" x14ac:dyDescent="0.2">
      <c r="A290" t="s">
        <v>289</v>
      </c>
      <c r="B290" t="s">
        <v>613</v>
      </c>
      <c r="C290" t="s">
        <v>648</v>
      </c>
    </row>
    <row r="291" spans="1:3" x14ac:dyDescent="0.2">
      <c r="A291" t="s">
        <v>290</v>
      </c>
      <c r="B291" t="s">
        <v>614</v>
      </c>
      <c r="C291" t="s">
        <v>648</v>
      </c>
    </row>
    <row r="292" spans="1:3" x14ac:dyDescent="0.2">
      <c r="A292" t="s">
        <v>291</v>
      </c>
      <c r="B292" t="s">
        <v>615</v>
      </c>
      <c r="C292" t="s">
        <v>648</v>
      </c>
    </row>
    <row r="293" spans="1:3" x14ac:dyDescent="0.2">
      <c r="A293" t="s">
        <v>292</v>
      </c>
      <c r="B293" t="s">
        <v>616</v>
      </c>
      <c r="C293" t="s">
        <v>648</v>
      </c>
    </row>
    <row r="294" spans="1:3" x14ac:dyDescent="0.2">
      <c r="A294" t="s">
        <v>293</v>
      </c>
      <c r="B294" t="s">
        <v>617</v>
      </c>
      <c r="C294" t="s">
        <v>648</v>
      </c>
    </row>
    <row r="295" spans="1:3" x14ac:dyDescent="0.2">
      <c r="A295" t="s">
        <v>294</v>
      </c>
      <c r="B295" t="s">
        <v>618</v>
      </c>
      <c r="C295" t="s">
        <v>648</v>
      </c>
    </row>
    <row r="296" spans="1:3" x14ac:dyDescent="0.2">
      <c r="A296" t="s">
        <v>295</v>
      </c>
      <c r="B296" t="s">
        <v>619</v>
      </c>
      <c r="C296" t="s">
        <v>648</v>
      </c>
    </row>
    <row r="297" spans="1:3" x14ac:dyDescent="0.2">
      <c r="A297" t="s">
        <v>296</v>
      </c>
      <c r="B297" t="s">
        <v>620</v>
      </c>
      <c r="C297" t="s">
        <v>648</v>
      </c>
    </row>
    <row r="298" spans="1:3" x14ac:dyDescent="0.2">
      <c r="A298" t="s">
        <v>297</v>
      </c>
      <c r="B298" t="s">
        <v>621</v>
      </c>
      <c r="C298" t="s">
        <v>648</v>
      </c>
    </row>
    <row r="299" spans="1:3" x14ac:dyDescent="0.2">
      <c r="A299" t="s">
        <v>298</v>
      </c>
      <c r="B299" t="s">
        <v>622</v>
      </c>
      <c r="C299" t="s">
        <v>648</v>
      </c>
    </row>
    <row r="300" spans="1:3" x14ac:dyDescent="0.2">
      <c r="A300" t="s">
        <v>299</v>
      </c>
      <c r="B300" t="s">
        <v>623</v>
      </c>
      <c r="C300" t="s">
        <v>648</v>
      </c>
    </row>
    <row r="301" spans="1:3" x14ac:dyDescent="0.2">
      <c r="A301" t="s">
        <v>300</v>
      </c>
      <c r="B301" t="s">
        <v>624</v>
      </c>
      <c r="C301" t="s">
        <v>648</v>
      </c>
    </row>
    <row r="302" spans="1:3" x14ac:dyDescent="0.2">
      <c r="A302" t="s">
        <v>301</v>
      </c>
      <c r="B302" t="s">
        <v>625</v>
      </c>
      <c r="C302" t="s">
        <v>648</v>
      </c>
    </row>
    <row r="303" spans="1:3" x14ac:dyDescent="0.2">
      <c r="A303" t="s">
        <v>302</v>
      </c>
      <c r="B303" t="s">
        <v>626</v>
      </c>
      <c r="C303" t="s">
        <v>648</v>
      </c>
    </row>
    <row r="304" spans="1:3" x14ac:dyDescent="0.2">
      <c r="A304" t="s">
        <v>303</v>
      </c>
      <c r="B304" t="s">
        <v>627</v>
      </c>
      <c r="C304" t="s">
        <v>648</v>
      </c>
    </row>
    <row r="305" spans="1:3" x14ac:dyDescent="0.2">
      <c r="A305" t="s">
        <v>304</v>
      </c>
      <c r="B305" t="s">
        <v>628</v>
      </c>
      <c r="C305" t="s">
        <v>648</v>
      </c>
    </row>
    <row r="306" spans="1:3" x14ac:dyDescent="0.2">
      <c r="A306" t="s">
        <v>305</v>
      </c>
      <c r="B306" t="s">
        <v>629</v>
      </c>
      <c r="C306" t="s">
        <v>648</v>
      </c>
    </row>
    <row r="307" spans="1:3" x14ac:dyDescent="0.2">
      <c r="A307" t="s">
        <v>306</v>
      </c>
      <c r="B307" t="s">
        <v>630</v>
      </c>
      <c r="C307" t="s">
        <v>648</v>
      </c>
    </row>
    <row r="308" spans="1:3" x14ac:dyDescent="0.2">
      <c r="A308" t="s">
        <v>307</v>
      </c>
      <c r="B308" t="s">
        <v>631</v>
      </c>
      <c r="C308" t="s">
        <v>648</v>
      </c>
    </row>
    <row r="309" spans="1:3" x14ac:dyDescent="0.2">
      <c r="A309" t="s">
        <v>308</v>
      </c>
      <c r="B309" t="s">
        <v>632</v>
      </c>
      <c r="C309" t="s">
        <v>648</v>
      </c>
    </row>
    <row r="310" spans="1:3" x14ac:dyDescent="0.2">
      <c r="A310" t="s">
        <v>309</v>
      </c>
      <c r="B310" t="s">
        <v>633</v>
      </c>
      <c r="C310" t="s">
        <v>648</v>
      </c>
    </row>
    <row r="311" spans="1:3" x14ac:dyDescent="0.2">
      <c r="A311" t="s">
        <v>310</v>
      </c>
      <c r="B311" t="s">
        <v>634</v>
      </c>
      <c r="C311" t="s">
        <v>648</v>
      </c>
    </row>
    <row r="312" spans="1:3" x14ac:dyDescent="0.2">
      <c r="A312" t="s">
        <v>311</v>
      </c>
      <c r="B312" t="s">
        <v>635</v>
      </c>
      <c r="C312" t="s">
        <v>648</v>
      </c>
    </row>
    <row r="313" spans="1:3" x14ac:dyDescent="0.2">
      <c r="A313" t="s">
        <v>312</v>
      </c>
      <c r="B313" t="s">
        <v>636</v>
      </c>
      <c r="C313" t="s">
        <v>648</v>
      </c>
    </row>
    <row r="314" spans="1:3" x14ac:dyDescent="0.2">
      <c r="A314" t="s">
        <v>313</v>
      </c>
      <c r="B314" t="s">
        <v>637</v>
      </c>
      <c r="C314" t="s">
        <v>648</v>
      </c>
    </row>
    <row r="315" spans="1:3" x14ac:dyDescent="0.2">
      <c r="A315" t="s">
        <v>314</v>
      </c>
      <c r="B315" t="s">
        <v>638</v>
      </c>
      <c r="C315" t="s">
        <v>648</v>
      </c>
    </row>
    <row r="316" spans="1:3" x14ac:dyDescent="0.2">
      <c r="A316" t="s">
        <v>315</v>
      </c>
      <c r="B316" t="s">
        <v>639</v>
      </c>
      <c r="C316" t="s">
        <v>648</v>
      </c>
    </row>
    <row r="317" spans="1:3" x14ac:dyDescent="0.2">
      <c r="A317" t="s">
        <v>316</v>
      </c>
      <c r="B317" t="s">
        <v>640</v>
      </c>
      <c r="C317" t="s">
        <v>648</v>
      </c>
    </row>
    <row r="318" spans="1:3" x14ac:dyDescent="0.2">
      <c r="A318" t="s">
        <v>317</v>
      </c>
      <c r="B318" t="s">
        <v>641</v>
      </c>
      <c r="C318" t="s">
        <v>648</v>
      </c>
    </row>
    <row r="319" spans="1:3" x14ac:dyDescent="0.2">
      <c r="A319" t="s">
        <v>318</v>
      </c>
      <c r="B319" t="s">
        <v>642</v>
      </c>
      <c r="C319" t="s">
        <v>648</v>
      </c>
    </row>
    <row r="320" spans="1:3" x14ac:dyDescent="0.2">
      <c r="A320" t="s">
        <v>319</v>
      </c>
      <c r="B320" t="s">
        <v>643</v>
      </c>
      <c r="C320" t="s">
        <v>648</v>
      </c>
    </row>
    <row r="321" spans="1:3" x14ac:dyDescent="0.2">
      <c r="A321" t="s">
        <v>320</v>
      </c>
      <c r="B321" t="s">
        <v>644</v>
      </c>
      <c r="C321" t="s">
        <v>648</v>
      </c>
    </row>
    <row r="322" spans="1:3" x14ac:dyDescent="0.2">
      <c r="A322" t="s">
        <v>321</v>
      </c>
      <c r="B322" t="s">
        <v>645</v>
      </c>
      <c r="C322" t="s">
        <v>648</v>
      </c>
    </row>
    <row r="323" spans="1:3" x14ac:dyDescent="0.2">
      <c r="A323" t="s">
        <v>322</v>
      </c>
      <c r="B323" t="s">
        <v>646</v>
      </c>
      <c r="C323" t="s">
        <v>648</v>
      </c>
    </row>
    <row r="324" spans="1:3" x14ac:dyDescent="0.2">
      <c r="A324" t="s">
        <v>323</v>
      </c>
      <c r="B324" t="s">
        <v>647</v>
      </c>
      <c r="C324" t="s">
        <v>648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7A7F-AAE7-9247-9323-4F8ED210C5C3}">
  <dimension ref="A1:C262"/>
  <sheetViews>
    <sheetView topLeftCell="A97" workbookViewId="0">
      <selection activeCell="M127" sqref="M127"/>
    </sheetView>
  </sheetViews>
  <sheetFormatPr baseColWidth="10" defaultRowHeight="16" x14ac:dyDescent="0.2"/>
  <cols>
    <col min="1" max="1" width="25.33203125" bestFit="1" customWidth="1"/>
    <col min="2" max="2" width="9" bestFit="1" customWidth="1"/>
  </cols>
  <sheetData>
    <row r="1" spans="1:3" x14ac:dyDescent="0.2">
      <c r="A1" t="s">
        <v>0</v>
      </c>
      <c r="B1" t="s">
        <v>324</v>
      </c>
      <c r="C1" t="s">
        <v>648</v>
      </c>
    </row>
    <row r="2" spans="1:3" x14ac:dyDescent="0.2">
      <c r="A2" t="s">
        <v>1</v>
      </c>
      <c r="B2" t="s">
        <v>325</v>
      </c>
      <c r="C2" t="s">
        <v>648</v>
      </c>
    </row>
    <row r="3" spans="1:3" x14ac:dyDescent="0.2">
      <c r="A3" t="s">
        <v>2</v>
      </c>
      <c r="B3" t="s">
        <v>326</v>
      </c>
      <c r="C3" t="s">
        <v>648</v>
      </c>
    </row>
    <row r="4" spans="1:3" x14ac:dyDescent="0.2">
      <c r="A4" t="s">
        <v>1716</v>
      </c>
      <c r="B4" t="s">
        <v>327</v>
      </c>
      <c r="C4" t="s">
        <v>648</v>
      </c>
    </row>
    <row r="5" spans="1:3" x14ac:dyDescent="0.2">
      <c r="A5" t="s">
        <v>5</v>
      </c>
      <c r="B5" t="s">
        <v>329</v>
      </c>
      <c r="C5" t="s">
        <v>648</v>
      </c>
    </row>
    <row r="6" spans="1:3" x14ac:dyDescent="0.2">
      <c r="A6" t="s">
        <v>6</v>
      </c>
      <c r="B6" t="s">
        <v>330</v>
      </c>
      <c r="C6" t="s">
        <v>648</v>
      </c>
    </row>
    <row r="7" spans="1:3" x14ac:dyDescent="0.2">
      <c r="A7" t="s">
        <v>1717</v>
      </c>
      <c r="B7" t="s">
        <v>331</v>
      </c>
      <c r="C7" t="s">
        <v>648</v>
      </c>
    </row>
    <row r="8" spans="1:3" x14ac:dyDescent="0.2">
      <c r="A8" t="s">
        <v>1718</v>
      </c>
      <c r="B8" t="s">
        <v>333</v>
      </c>
      <c r="C8" t="s">
        <v>648</v>
      </c>
    </row>
    <row r="9" spans="1:3" x14ac:dyDescent="0.2">
      <c r="A9" t="s">
        <v>11</v>
      </c>
      <c r="B9" t="s">
        <v>335</v>
      </c>
      <c r="C9" t="s">
        <v>648</v>
      </c>
    </row>
    <row r="10" spans="1:3" x14ac:dyDescent="0.2">
      <c r="A10" t="s">
        <v>1719</v>
      </c>
      <c r="B10" t="s">
        <v>336</v>
      </c>
      <c r="C10" t="s">
        <v>648</v>
      </c>
    </row>
    <row r="11" spans="1:3" x14ac:dyDescent="0.2">
      <c r="A11" t="s">
        <v>1720</v>
      </c>
      <c r="B11" t="s">
        <v>338</v>
      </c>
      <c r="C11" t="s">
        <v>648</v>
      </c>
    </row>
    <row r="12" spans="1:3" x14ac:dyDescent="0.2">
      <c r="A12" t="s">
        <v>16</v>
      </c>
      <c r="B12" t="s">
        <v>340</v>
      </c>
      <c r="C12" t="s">
        <v>648</v>
      </c>
    </row>
    <row r="13" spans="1:3" x14ac:dyDescent="0.2">
      <c r="A13" t="s">
        <v>17</v>
      </c>
      <c r="B13" t="s">
        <v>341</v>
      </c>
      <c r="C13" t="s">
        <v>648</v>
      </c>
    </row>
    <row r="14" spans="1:3" x14ac:dyDescent="0.2">
      <c r="A14" t="s">
        <v>18</v>
      </c>
      <c r="B14" t="s">
        <v>342</v>
      </c>
      <c r="C14" t="s">
        <v>648</v>
      </c>
    </row>
    <row r="15" spans="1:3" x14ac:dyDescent="0.2">
      <c r="A15" t="s">
        <v>19</v>
      </c>
      <c r="B15" t="s">
        <v>343</v>
      </c>
      <c r="C15" t="s">
        <v>648</v>
      </c>
    </row>
    <row r="16" spans="1:3" x14ac:dyDescent="0.2">
      <c r="A16" t="s">
        <v>20</v>
      </c>
      <c r="B16" t="s">
        <v>344</v>
      </c>
      <c r="C16" t="s">
        <v>648</v>
      </c>
    </row>
    <row r="17" spans="1:3" x14ac:dyDescent="0.2">
      <c r="A17" t="s">
        <v>21</v>
      </c>
      <c r="B17" t="s">
        <v>345</v>
      </c>
      <c r="C17" t="s">
        <v>648</v>
      </c>
    </row>
    <row r="18" spans="1:3" x14ac:dyDescent="0.2">
      <c r="A18" t="s">
        <v>22</v>
      </c>
      <c r="B18" t="s">
        <v>346</v>
      </c>
      <c r="C18" t="s">
        <v>648</v>
      </c>
    </row>
    <row r="19" spans="1:3" x14ac:dyDescent="0.2">
      <c r="A19" t="s">
        <v>1721</v>
      </c>
      <c r="B19" t="s">
        <v>347</v>
      </c>
      <c r="C19" t="s">
        <v>648</v>
      </c>
    </row>
    <row r="20" spans="1:3" x14ac:dyDescent="0.2">
      <c r="A20" t="s">
        <v>25</v>
      </c>
      <c r="B20" t="s">
        <v>349</v>
      </c>
      <c r="C20" t="s">
        <v>648</v>
      </c>
    </row>
    <row r="21" spans="1:3" x14ac:dyDescent="0.2">
      <c r="A21" t="s">
        <v>26</v>
      </c>
      <c r="B21" t="s">
        <v>350</v>
      </c>
      <c r="C21" t="s">
        <v>648</v>
      </c>
    </row>
    <row r="22" spans="1:3" x14ac:dyDescent="0.2">
      <c r="A22" t="s">
        <v>1722</v>
      </c>
      <c r="B22" t="s">
        <v>351</v>
      </c>
      <c r="C22" t="s">
        <v>648</v>
      </c>
    </row>
    <row r="23" spans="1:3" x14ac:dyDescent="0.2">
      <c r="A23" t="s">
        <v>29</v>
      </c>
      <c r="B23" t="s">
        <v>353</v>
      </c>
      <c r="C23" t="s">
        <v>648</v>
      </c>
    </row>
    <row r="24" spans="1:3" x14ac:dyDescent="0.2">
      <c r="A24" t="s">
        <v>30</v>
      </c>
      <c r="B24" t="s">
        <v>354</v>
      </c>
      <c r="C24" t="s">
        <v>648</v>
      </c>
    </row>
    <row r="25" spans="1:3" x14ac:dyDescent="0.2">
      <c r="A25" t="s">
        <v>31</v>
      </c>
      <c r="B25" t="s">
        <v>355</v>
      </c>
      <c r="C25" t="s">
        <v>648</v>
      </c>
    </row>
    <row r="26" spans="1:3" x14ac:dyDescent="0.2">
      <c r="A26" t="s">
        <v>1723</v>
      </c>
      <c r="B26" t="s">
        <v>356</v>
      </c>
      <c r="C26" t="s">
        <v>648</v>
      </c>
    </row>
    <row r="27" spans="1:3" x14ac:dyDescent="0.2">
      <c r="A27" t="s">
        <v>34</v>
      </c>
      <c r="B27" t="s">
        <v>358</v>
      </c>
      <c r="C27" t="s">
        <v>648</v>
      </c>
    </row>
    <row r="28" spans="1:3" x14ac:dyDescent="0.2">
      <c r="A28" t="s">
        <v>35</v>
      </c>
      <c r="B28" t="s">
        <v>359</v>
      </c>
      <c r="C28" t="s">
        <v>648</v>
      </c>
    </row>
    <row r="29" spans="1:3" x14ac:dyDescent="0.2">
      <c r="A29" t="s">
        <v>36</v>
      </c>
      <c r="B29" t="s">
        <v>360</v>
      </c>
      <c r="C29" t="s">
        <v>648</v>
      </c>
    </row>
    <row r="30" spans="1:3" x14ac:dyDescent="0.2">
      <c r="A30" t="s">
        <v>1724</v>
      </c>
      <c r="B30" t="s">
        <v>361</v>
      </c>
      <c r="C30" t="s">
        <v>648</v>
      </c>
    </row>
    <row r="31" spans="1:3" x14ac:dyDescent="0.2">
      <c r="A31" t="s">
        <v>39</v>
      </c>
      <c r="B31" t="s">
        <v>363</v>
      </c>
      <c r="C31" t="s">
        <v>648</v>
      </c>
    </row>
    <row r="32" spans="1:3" x14ac:dyDescent="0.2">
      <c r="A32" t="s">
        <v>40</v>
      </c>
      <c r="B32" t="s">
        <v>364</v>
      </c>
      <c r="C32" t="s">
        <v>648</v>
      </c>
    </row>
    <row r="33" spans="1:3" x14ac:dyDescent="0.2">
      <c r="A33" t="s">
        <v>41</v>
      </c>
      <c r="B33" t="s">
        <v>365</v>
      </c>
      <c r="C33" t="s">
        <v>648</v>
      </c>
    </row>
    <row r="34" spans="1:3" x14ac:dyDescent="0.2">
      <c r="A34" t="s">
        <v>42</v>
      </c>
      <c r="B34" t="s">
        <v>366</v>
      </c>
      <c r="C34" t="s">
        <v>648</v>
      </c>
    </row>
    <row r="35" spans="1:3" x14ac:dyDescent="0.2">
      <c r="A35" t="s">
        <v>1798</v>
      </c>
      <c r="B35" t="s">
        <v>367</v>
      </c>
      <c r="C35" t="s">
        <v>648</v>
      </c>
    </row>
    <row r="36" spans="1:3" x14ac:dyDescent="0.2">
      <c r="A36" t="s">
        <v>44</v>
      </c>
      <c r="B36" t="s">
        <v>368</v>
      </c>
      <c r="C36" t="s">
        <v>648</v>
      </c>
    </row>
    <row r="37" spans="1:3" x14ac:dyDescent="0.2">
      <c r="A37" t="s">
        <v>45</v>
      </c>
      <c r="B37" t="s">
        <v>369</v>
      </c>
      <c r="C37" t="s">
        <v>648</v>
      </c>
    </row>
    <row r="38" spans="1:3" x14ac:dyDescent="0.2">
      <c r="A38" t="s">
        <v>1725</v>
      </c>
      <c r="B38" t="s">
        <v>371</v>
      </c>
      <c r="C38" t="s">
        <v>648</v>
      </c>
    </row>
    <row r="39" spans="1:3" x14ac:dyDescent="0.2">
      <c r="A39" t="s">
        <v>50</v>
      </c>
      <c r="B39" t="s">
        <v>374</v>
      </c>
      <c r="C39" t="s">
        <v>648</v>
      </c>
    </row>
    <row r="40" spans="1:3" x14ac:dyDescent="0.2">
      <c r="A40" t="s">
        <v>51</v>
      </c>
      <c r="B40" t="s">
        <v>375</v>
      </c>
      <c r="C40" t="s">
        <v>648</v>
      </c>
    </row>
    <row r="41" spans="1:3" x14ac:dyDescent="0.2">
      <c r="A41" t="s">
        <v>52</v>
      </c>
      <c r="B41" t="s">
        <v>376</v>
      </c>
      <c r="C41" t="s">
        <v>648</v>
      </c>
    </row>
    <row r="42" spans="1:3" x14ac:dyDescent="0.2">
      <c r="A42" t="s">
        <v>1726</v>
      </c>
      <c r="B42" t="s">
        <v>377</v>
      </c>
      <c r="C42" t="s">
        <v>648</v>
      </c>
    </row>
    <row r="43" spans="1:3" x14ac:dyDescent="0.2">
      <c r="A43" t="s">
        <v>55</v>
      </c>
      <c r="B43" t="s">
        <v>379</v>
      </c>
      <c r="C43" t="s">
        <v>648</v>
      </c>
    </row>
    <row r="44" spans="1:3" x14ac:dyDescent="0.2">
      <c r="A44" t="s">
        <v>1799</v>
      </c>
      <c r="B44" t="s">
        <v>380</v>
      </c>
      <c r="C44" t="s">
        <v>648</v>
      </c>
    </row>
    <row r="45" spans="1:3" x14ac:dyDescent="0.2">
      <c r="A45" t="s">
        <v>57</v>
      </c>
      <c r="B45" t="s">
        <v>381</v>
      </c>
      <c r="C45" t="s">
        <v>648</v>
      </c>
    </row>
    <row r="46" spans="1:3" x14ac:dyDescent="0.2">
      <c r="A46" t="s">
        <v>58</v>
      </c>
      <c r="B46" t="s">
        <v>382</v>
      </c>
      <c r="C46" t="s">
        <v>648</v>
      </c>
    </row>
    <row r="47" spans="1:3" x14ac:dyDescent="0.2">
      <c r="A47" t="s">
        <v>1727</v>
      </c>
      <c r="B47" t="s">
        <v>383</v>
      </c>
      <c r="C47" t="s">
        <v>648</v>
      </c>
    </row>
    <row r="48" spans="1:3" x14ac:dyDescent="0.2">
      <c r="A48" t="s">
        <v>1728</v>
      </c>
      <c r="B48" t="s">
        <v>385</v>
      </c>
      <c r="C48" t="s">
        <v>648</v>
      </c>
    </row>
    <row r="49" spans="1:3" x14ac:dyDescent="0.2">
      <c r="A49" t="s">
        <v>1729</v>
      </c>
      <c r="B49" t="s">
        <v>387</v>
      </c>
      <c r="C49" t="s">
        <v>648</v>
      </c>
    </row>
    <row r="50" spans="1:3" x14ac:dyDescent="0.2">
      <c r="A50" t="s">
        <v>65</v>
      </c>
      <c r="B50" t="s">
        <v>389</v>
      </c>
      <c r="C50" t="s">
        <v>648</v>
      </c>
    </row>
    <row r="51" spans="1:3" x14ac:dyDescent="0.2">
      <c r="A51" t="s">
        <v>66</v>
      </c>
      <c r="B51" t="s">
        <v>390</v>
      </c>
      <c r="C51" t="s">
        <v>648</v>
      </c>
    </row>
    <row r="52" spans="1:3" x14ac:dyDescent="0.2">
      <c r="A52" t="s">
        <v>67</v>
      </c>
      <c r="B52" t="s">
        <v>391</v>
      </c>
      <c r="C52" t="s">
        <v>648</v>
      </c>
    </row>
    <row r="53" spans="1:3" x14ac:dyDescent="0.2">
      <c r="A53" t="s">
        <v>68</v>
      </c>
      <c r="B53" t="s">
        <v>392</v>
      </c>
      <c r="C53" t="s">
        <v>648</v>
      </c>
    </row>
    <row r="54" spans="1:3" x14ac:dyDescent="0.2">
      <c r="A54" t="s">
        <v>69</v>
      </c>
      <c r="B54" t="s">
        <v>393</v>
      </c>
      <c r="C54" t="s">
        <v>648</v>
      </c>
    </row>
    <row r="55" spans="1:3" x14ac:dyDescent="0.2">
      <c r="A55" t="s">
        <v>1730</v>
      </c>
      <c r="B55" t="s">
        <v>394</v>
      </c>
      <c r="C55" t="s">
        <v>648</v>
      </c>
    </row>
    <row r="56" spans="1:3" x14ac:dyDescent="0.2">
      <c r="A56" t="s">
        <v>73</v>
      </c>
      <c r="B56" t="s">
        <v>397</v>
      </c>
      <c r="C56" t="s">
        <v>648</v>
      </c>
    </row>
    <row r="57" spans="1:3" x14ac:dyDescent="0.2">
      <c r="A57" t="s">
        <v>74</v>
      </c>
      <c r="B57" t="s">
        <v>398</v>
      </c>
      <c r="C57" t="s">
        <v>648</v>
      </c>
    </row>
    <row r="58" spans="1:3" x14ac:dyDescent="0.2">
      <c r="A58" t="s">
        <v>1731</v>
      </c>
      <c r="B58" t="s">
        <v>399</v>
      </c>
      <c r="C58" t="s">
        <v>648</v>
      </c>
    </row>
    <row r="59" spans="1:3" x14ac:dyDescent="0.2">
      <c r="A59" t="s">
        <v>77</v>
      </c>
      <c r="B59" t="s">
        <v>401</v>
      </c>
      <c r="C59" t="s">
        <v>648</v>
      </c>
    </row>
    <row r="60" spans="1:3" x14ac:dyDescent="0.2">
      <c r="A60" t="s">
        <v>78</v>
      </c>
      <c r="B60" t="s">
        <v>402</v>
      </c>
      <c r="C60" t="s">
        <v>648</v>
      </c>
    </row>
    <row r="61" spans="1:3" x14ac:dyDescent="0.2">
      <c r="A61" t="s">
        <v>79</v>
      </c>
      <c r="B61" t="s">
        <v>403</v>
      </c>
      <c r="C61" t="s">
        <v>648</v>
      </c>
    </row>
    <row r="62" spans="1:3" x14ac:dyDescent="0.2">
      <c r="A62" t="s">
        <v>80</v>
      </c>
      <c r="B62" t="s">
        <v>404</v>
      </c>
      <c r="C62" t="s">
        <v>648</v>
      </c>
    </row>
    <row r="63" spans="1:3" x14ac:dyDescent="0.2">
      <c r="A63" t="s">
        <v>1732</v>
      </c>
      <c r="B63" t="s">
        <v>405</v>
      </c>
      <c r="C63" t="s">
        <v>648</v>
      </c>
    </row>
    <row r="64" spans="1:3" x14ac:dyDescent="0.2">
      <c r="A64" t="s">
        <v>1733</v>
      </c>
      <c r="B64" t="s">
        <v>407</v>
      </c>
      <c r="C64" t="s">
        <v>648</v>
      </c>
    </row>
    <row r="65" spans="1:3" x14ac:dyDescent="0.2">
      <c r="A65" t="s">
        <v>1734</v>
      </c>
      <c r="B65" t="s">
        <v>409</v>
      </c>
      <c r="C65" t="s">
        <v>648</v>
      </c>
    </row>
    <row r="66" spans="1:3" x14ac:dyDescent="0.2">
      <c r="A66" t="s">
        <v>87</v>
      </c>
      <c r="B66" t="s">
        <v>411</v>
      </c>
      <c r="C66" t="s">
        <v>648</v>
      </c>
    </row>
    <row r="67" spans="1:3" x14ac:dyDescent="0.2">
      <c r="A67" t="s">
        <v>1735</v>
      </c>
      <c r="B67" t="s">
        <v>412</v>
      </c>
      <c r="C67" t="s">
        <v>648</v>
      </c>
    </row>
    <row r="68" spans="1:3" x14ac:dyDescent="0.2">
      <c r="A68" t="s">
        <v>90</v>
      </c>
      <c r="B68" t="s">
        <v>414</v>
      </c>
      <c r="C68" t="s">
        <v>648</v>
      </c>
    </row>
    <row r="69" spans="1:3" x14ac:dyDescent="0.2">
      <c r="A69" t="s">
        <v>1736</v>
      </c>
      <c r="B69" t="s">
        <v>415</v>
      </c>
      <c r="C69" t="s">
        <v>648</v>
      </c>
    </row>
    <row r="70" spans="1:3" x14ac:dyDescent="0.2">
      <c r="A70" t="s">
        <v>93</v>
      </c>
      <c r="B70" t="s">
        <v>417</v>
      </c>
      <c r="C70" t="s">
        <v>648</v>
      </c>
    </row>
    <row r="71" spans="1:3" x14ac:dyDescent="0.2">
      <c r="A71" t="s">
        <v>94</v>
      </c>
      <c r="B71" t="s">
        <v>418</v>
      </c>
      <c r="C71" t="s">
        <v>648</v>
      </c>
    </row>
    <row r="72" spans="1:3" x14ac:dyDescent="0.2">
      <c r="A72" t="s">
        <v>95</v>
      </c>
      <c r="B72" t="s">
        <v>419</v>
      </c>
      <c r="C72" t="s">
        <v>648</v>
      </c>
    </row>
    <row r="73" spans="1:3" x14ac:dyDescent="0.2">
      <c r="A73" t="s">
        <v>96</v>
      </c>
      <c r="B73" t="s">
        <v>420</v>
      </c>
      <c r="C73" t="s">
        <v>648</v>
      </c>
    </row>
    <row r="74" spans="1:3" x14ac:dyDescent="0.2">
      <c r="A74" t="s">
        <v>97</v>
      </c>
      <c r="B74" t="s">
        <v>421</v>
      </c>
      <c r="C74" t="s">
        <v>648</v>
      </c>
    </row>
    <row r="75" spans="1:3" x14ac:dyDescent="0.2">
      <c r="A75" t="s">
        <v>98</v>
      </c>
      <c r="B75" t="s">
        <v>422</v>
      </c>
      <c r="C75" t="s">
        <v>648</v>
      </c>
    </row>
    <row r="76" spans="1:3" x14ac:dyDescent="0.2">
      <c r="A76" t="s">
        <v>99</v>
      </c>
      <c r="B76" t="s">
        <v>423</v>
      </c>
      <c r="C76" t="s">
        <v>648</v>
      </c>
    </row>
    <row r="77" spans="1:3" x14ac:dyDescent="0.2">
      <c r="A77" t="s">
        <v>100</v>
      </c>
      <c r="B77" t="s">
        <v>424</v>
      </c>
      <c r="C77" t="s">
        <v>648</v>
      </c>
    </row>
    <row r="78" spans="1:3" x14ac:dyDescent="0.2">
      <c r="A78" t="s">
        <v>101</v>
      </c>
      <c r="B78" t="s">
        <v>425</v>
      </c>
      <c r="C78" t="s">
        <v>648</v>
      </c>
    </row>
    <row r="79" spans="1:3" x14ac:dyDescent="0.2">
      <c r="A79" t="s">
        <v>102</v>
      </c>
      <c r="B79" t="s">
        <v>426</v>
      </c>
      <c r="C79" t="s">
        <v>648</v>
      </c>
    </row>
    <row r="80" spans="1:3" x14ac:dyDescent="0.2">
      <c r="A80" t="s">
        <v>103</v>
      </c>
      <c r="B80" t="s">
        <v>427</v>
      </c>
      <c r="C80" t="s">
        <v>648</v>
      </c>
    </row>
    <row r="81" spans="1:3" x14ac:dyDescent="0.2">
      <c r="A81" t="s">
        <v>1737</v>
      </c>
      <c r="B81" t="s">
        <v>428</v>
      </c>
      <c r="C81" t="s">
        <v>648</v>
      </c>
    </row>
    <row r="82" spans="1:3" x14ac:dyDescent="0.2">
      <c r="A82" t="s">
        <v>106</v>
      </c>
      <c r="B82" t="s">
        <v>430</v>
      </c>
      <c r="C82" t="s">
        <v>648</v>
      </c>
    </row>
    <row r="83" spans="1:3" x14ac:dyDescent="0.2">
      <c r="A83" t="s">
        <v>107</v>
      </c>
      <c r="B83" t="s">
        <v>431</v>
      </c>
      <c r="C83" t="s">
        <v>648</v>
      </c>
    </row>
    <row r="84" spans="1:3" x14ac:dyDescent="0.2">
      <c r="A84" t="s">
        <v>108</v>
      </c>
      <c r="B84" t="s">
        <v>432</v>
      </c>
      <c r="C84" t="s">
        <v>648</v>
      </c>
    </row>
    <row r="85" spans="1:3" x14ac:dyDescent="0.2">
      <c r="A85" t="s">
        <v>109</v>
      </c>
      <c r="B85" t="s">
        <v>433</v>
      </c>
      <c r="C85" t="s">
        <v>648</v>
      </c>
    </row>
    <row r="86" spans="1:3" x14ac:dyDescent="0.2">
      <c r="A86" t="s">
        <v>110</v>
      </c>
      <c r="B86" t="s">
        <v>434</v>
      </c>
      <c r="C86" t="s">
        <v>648</v>
      </c>
    </row>
    <row r="87" spans="1:3" x14ac:dyDescent="0.2">
      <c r="A87" t="s">
        <v>111</v>
      </c>
      <c r="B87" t="s">
        <v>435</v>
      </c>
      <c r="C87" t="s">
        <v>648</v>
      </c>
    </row>
    <row r="88" spans="1:3" x14ac:dyDescent="0.2">
      <c r="A88" t="s">
        <v>112</v>
      </c>
      <c r="B88" t="s">
        <v>436</v>
      </c>
      <c r="C88" t="s">
        <v>648</v>
      </c>
    </row>
    <row r="89" spans="1:3" x14ac:dyDescent="0.2">
      <c r="A89" t="s">
        <v>1738</v>
      </c>
      <c r="B89" t="s">
        <v>437</v>
      </c>
      <c r="C89" t="s">
        <v>648</v>
      </c>
    </row>
    <row r="90" spans="1:3" x14ac:dyDescent="0.2">
      <c r="A90" t="s">
        <v>115</v>
      </c>
      <c r="B90" t="s">
        <v>439</v>
      </c>
      <c r="C90" t="s">
        <v>648</v>
      </c>
    </row>
    <row r="91" spans="1:3" x14ac:dyDescent="0.2">
      <c r="A91" t="s">
        <v>116</v>
      </c>
      <c r="B91" t="s">
        <v>440</v>
      </c>
      <c r="C91" t="s">
        <v>648</v>
      </c>
    </row>
    <row r="92" spans="1:3" x14ac:dyDescent="0.2">
      <c r="A92" t="s">
        <v>117</v>
      </c>
      <c r="B92" t="s">
        <v>441</v>
      </c>
      <c r="C92" t="s">
        <v>648</v>
      </c>
    </row>
    <row r="93" spans="1:3" x14ac:dyDescent="0.2">
      <c r="A93" t="s">
        <v>118</v>
      </c>
      <c r="B93" t="s">
        <v>442</v>
      </c>
      <c r="C93" t="s">
        <v>648</v>
      </c>
    </row>
    <row r="94" spans="1:3" x14ac:dyDescent="0.2">
      <c r="A94" t="s">
        <v>119</v>
      </c>
      <c r="B94" t="s">
        <v>443</v>
      </c>
      <c r="C94" t="s">
        <v>648</v>
      </c>
    </row>
    <row r="95" spans="1:3" x14ac:dyDescent="0.2">
      <c r="A95" t="s">
        <v>1739</v>
      </c>
      <c r="B95" t="s">
        <v>445</v>
      </c>
      <c r="C95" t="s">
        <v>648</v>
      </c>
    </row>
    <row r="96" spans="1:3" x14ac:dyDescent="0.2">
      <c r="A96" t="s">
        <v>123</v>
      </c>
      <c r="B96" t="s">
        <v>447</v>
      </c>
      <c r="C96" t="s">
        <v>648</v>
      </c>
    </row>
    <row r="97" spans="1:3" x14ac:dyDescent="0.2">
      <c r="A97" t="s">
        <v>124</v>
      </c>
      <c r="B97" t="s">
        <v>448</v>
      </c>
      <c r="C97" t="s">
        <v>648</v>
      </c>
    </row>
    <row r="98" spans="1:3" x14ac:dyDescent="0.2">
      <c r="A98" t="s">
        <v>125</v>
      </c>
      <c r="B98" t="s">
        <v>449</v>
      </c>
      <c r="C98" t="s">
        <v>648</v>
      </c>
    </row>
    <row r="99" spans="1:3" x14ac:dyDescent="0.2">
      <c r="A99" t="s">
        <v>126</v>
      </c>
      <c r="B99" t="s">
        <v>450</v>
      </c>
      <c r="C99" t="s">
        <v>648</v>
      </c>
    </row>
    <row r="100" spans="1:3" x14ac:dyDescent="0.2">
      <c r="A100" t="s">
        <v>127</v>
      </c>
      <c r="B100" t="s">
        <v>451</v>
      </c>
      <c r="C100" t="s">
        <v>648</v>
      </c>
    </row>
    <row r="101" spans="1:3" x14ac:dyDescent="0.2">
      <c r="A101" t="s">
        <v>128</v>
      </c>
      <c r="B101" t="s">
        <v>452</v>
      </c>
      <c r="C101" t="s">
        <v>648</v>
      </c>
    </row>
    <row r="102" spans="1:3" x14ac:dyDescent="0.2">
      <c r="A102" t="s">
        <v>129</v>
      </c>
      <c r="B102" t="s">
        <v>453</v>
      </c>
      <c r="C102" t="s">
        <v>648</v>
      </c>
    </row>
    <row r="103" spans="1:3" x14ac:dyDescent="0.2">
      <c r="A103" t="s">
        <v>1740</v>
      </c>
      <c r="B103" t="s">
        <v>454</v>
      </c>
      <c r="C103" t="s">
        <v>648</v>
      </c>
    </row>
    <row r="104" spans="1:3" x14ac:dyDescent="0.2">
      <c r="A104" t="s">
        <v>132</v>
      </c>
      <c r="B104" t="s">
        <v>456</v>
      </c>
      <c r="C104" t="s">
        <v>648</v>
      </c>
    </row>
    <row r="105" spans="1:3" x14ac:dyDescent="0.2">
      <c r="A105" t="s">
        <v>1741</v>
      </c>
      <c r="B105" t="s">
        <v>457</v>
      </c>
      <c r="C105" t="s">
        <v>648</v>
      </c>
    </row>
    <row r="106" spans="1:3" x14ac:dyDescent="0.2">
      <c r="A106" t="s">
        <v>1742</v>
      </c>
      <c r="B106" t="s">
        <v>459</v>
      </c>
      <c r="C106" t="s">
        <v>648</v>
      </c>
    </row>
    <row r="107" spans="1:3" x14ac:dyDescent="0.2">
      <c r="A107" t="s">
        <v>1743</v>
      </c>
      <c r="B107" t="s">
        <v>461</v>
      </c>
      <c r="C107" t="s">
        <v>648</v>
      </c>
    </row>
    <row r="108" spans="1:3" x14ac:dyDescent="0.2">
      <c r="A108" t="s">
        <v>139</v>
      </c>
      <c r="B108" t="s">
        <v>463</v>
      </c>
      <c r="C108" t="s">
        <v>648</v>
      </c>
    </row>
    <row r="109" spans="1:3" x14ac:dyDescent="0.2">
      <c r="A109" t="s">
        <v>1744</v>
      </c>
      <c r="B109" t="s">
        <v>464</v>
      </c>
      <c r="C109" t="s">
        <v>648</v>
      </c>
    </row>
    <row r="110" spans="1:3" x14ac:dyDescent="0.2">
      <c r="A110" t="s">
        <v>1745</v>
      </c>
      <c r="B110" t="s">
        <v>466</v>
      </c>
      <c r="C110" t="s">
        <v>648</v>
      </c>
    </row>
    <row r="111" spans="1:3" x14ac:dyDescent="0.2">
      <c r="A111" t="s">
        <v>1746</v>
      </c>
      <c r="B111" t="s">
        <v>468</v>
      </c>
      <c r="C111" t="s">
        <v>648</v>
      </c>
    </row>
    <row r="112" spans="1:3" x14ac:dyDescent="0.2">
      <c r="A112" t="s">
        <v>146</v>
      </c>
      <c r="B112" t="s">
        <v>470</v>
      </c>
      <c r="C112" t="s">
        <v>648</v>
      </c>
    </row>
    <row r="113" spans="1:3" x14ac:dyDescent="0.2">
      <c r="A113" t="s">
        <v>147</v>
      </c>
      <c r="B113" t="s">
        <v>471</v>
      </c>
      <c r="C113" t="s">
        <v>648</v>
      </c>
    </row>
    <row r="114" spans="1:3" x14ac:dyDescent="0.2">
      <c r="A114" t="s">
        <v>148</v>
      </c>
      <c r="B114" t="s">
        <v>472</v>
      </c>
      <c r="C114" t="s">
        <v>648</v>
      </c>
    </row>
    <row r="115" spans="1:3" x14ac:dyDescent="0.2">
      <c r="A115" t="s">
        <v>1747</v>
      </c>
      <c r="B115" t="s">
        <v>473</v>
      </c>
      <c r="C115" t="s">
        <v>648</v>
      </c>
    </row>
    <row r="116" spans="1:3" x14ac:dyDescent="0.2">
      <c r="A116" t="s">
        <v>151</v>
      </c>
      <c r="B116" t="s">
        <v>475</v>
      </c>
      <c r="C116" t="s">
        <v>648</v>
      </c>
    </row>
    <row r="117" spans="1:3" x14ac:dyDescent="0.2">
      <c r="A117" t="s">
        <v>152</v>
      </c>
      <c r="B117" t="s">
        <v>476</v>
      </c>
      <c r="C117" t="s">
        <v>648</v>
      </c>
    </row>
    <row r="118" spans="1:3" x14ac:dyDescent="0.2">
      <c r="A118" t="s">
        <v>153</v>
      </c>
      <c r="B118" t="s">
        <v>477</v>
      </c>
      <c r="C118" t="s">
        <v>648</v>
      </c>
    </row>
    <row r="119" spans="1:3" x14ac:dyDescent="0.2">
      <c r="A119" t="s">
        <v>154</v>
      </c>
      <c r="B119" t="s">
        <v>478</v>
      </c>
      <c r="C119" t="s">
        <v>648</v>
      </c>
    </row>
    <row r="120" spans="1:3" x14ac:dyDescent="0.2">
      <c r="A120" t="s">
        <v>1748</v>
      </c>
      <c r="B120" t="s">
        <v>479</v>
      </c>
      <c r="C120" t="s">
        <v>648</v>
      </c>
    </row>
    <row r="121" spans="1:3" x14ac:dyDescent="0.2">
      <c r="A121" t="s">
        <v>157</v>
      </c>
      <c r="B121" t="s">
        <v>481</v>
      </c>
      <c r="C121" t="s">
        <v>648</v>
      </c>
    </row>
    <row r="122" spans="1:3" x14ac:dyDescent="0.2">
      <c r="A122" t="s">
        <v>158</v>
      </c>
      <c r="B122" t="s">
        <v>482</v>
      </c>
      <c r="C122" t="s">
        <v>648</v>
      </c>
    </row>
    <row r="123" spans="1:3" x14ac:dyDescent="0.2">
      <c r="A123" t="s">
        <v>159</v>
      </c>
      <c r="B123" t="s">
        <v>483</v>
      </c>
      <c r="C123" t="s">
        <v>648</v>
      </c>
    </row>
    <row r="124" spans="1:3" x14ac:dyDescent="0.2">
      <c r="A124" t="s">
        <v>160</v>
      </c>
      <c r="B124" t="s">
        <v>484</v>
      </c>
      <c r="C124" t="s">
        <v>648</v>
      </c>
    </row>
    <row r="125" spans="1:3" x14ac:dyDescent="0.2">
      <c r="A125" t="s">
        <v>161</v>
      </c>
      <c r="B125" t="s">
        <v>485</v>
      </c>
      <c r="C125" t="s">
        <v>648</v>
      </c>
    </row>
    <row r="126" spans="1:3" x14ac:dyDescent="0.2">
      <c r="A126" t="s">
        <v>162</v>
      </c>
      <c r="B126" t="s">
        <v>486</v>
      </c>
      <c r="C126" t="s">
        <v>648</v>
      </c>
    </row>
    <row r="127" spans="1:3" x14ac:dyDescent="0.2">
      <c r="A127" t="s">
        <v>163</v>
      </c>
      <c r="B127" t="s">
        <v>487</v>
      </c>
      <c r="C127" t="s">
        <v>648</v>
      </c>
    </row>
    <row r="128" spans="1:3" x14ac:dyDescent="0.2">
      <c r="A128" t="s">
        <v>164</v>
      </c>
      <c r="B128" t="s">
        <v>488</v>
      </c>
      <c r="C128" t="s">
        <v>648</v>
      </c>
    </row>
    <row r="129" spans="1:3" x14ac:dyDescent="0.2">
      <c r="A129" t="s">
        <v>165</v>
      </c>
      <c r="B129" t="s">
        <v>489</v>
      </c>
      <c r="C129" t="s">
        <v>648</v>
      </c>
    </row>
    <row r="130" spans="1:3" x14ac:dyDescent="0.2">
      <c r="A130" t="s">
        <v>1749</v>
      </c>
      <c r="B130" t="s">
        <v>490</v>
      </c>
      <c r="C130" t="s">
        <v>648</v>
      </c>
    </row>
    <row r="131" spans="1:3" x14ac:dyDescent="0.2">
      <c r="A131" t="s">
        <v>168</v>
      </c>
      <c r="B131" t="s">
        <v>492</v>
      </c>
      <c r="C131" t="s">
        <v>648</v>
      </c>
    </row>
    <row r="132" spans="1:3" x14ac:dyDescent="0.2">
      <c r="A132" t="s">
        <v>169</v>
      </c>
      <c r="B132" t="s">
        <v>493</v>
      </c>
      <c r="C132" t="s">
        <v>648</v>
      </c>
    </row>
    <row r="133" spans="1:3" x14ac:dyDescent="0.2">
      <c r="A133" t="s">
        <v>170</v>
      </c>
      <c r="B133" t="s">
        <v>494</v>
      </c>
      <c r="C133" t="s">
        <v>648</v>
      </c>
    </row>
    <row r="134" spans="1:3" x14ac:dyDescent="0.2">
      <c r="A134" t="s">
        <v>171</v>
      </c>
      <c r="B134" t="s">
        <v>495</v>
      </c>
      <c r="C134" t="s">
        <v>648</v>
      </c>
    </row>
    <row r="135" spans="1:3" x14ac:dyDescent="0.2">
      <c r="A135" t="s">
        <v>172</v>
      </c>
      <c r="B135" t="s">
        <v>496</v>
      </c>
      <c r="C135" t="s">
        <v>648</v>
      </c>
    </row>
    <row r="136" spans="1:3" x14ac:dyDescent="0.2">
      <c r="A136" t="s">
        <v>173</v>
      </c>
      <c r="B136" t="s">
        <v>497</v>
      </c>
      <c r="C136" t="s">
        <v>648</v>
      </c>
    </row>
    <row r="137" spans="1:3" x14ac:dyDescent="0.2">
      <c r="A137" t="s">
        <v>174</v>
      </c>
      <c r="B137" t="s">
        <v>498</v>
      </c>
      <c r="C137" t="s">
        <v>648</v>
      </c>
    </row>
    <row r="138" spans="1:3" x14ac:dyDescent="0.2">
      <c r="A138" t="s">
        <v>175</v>
      </c>
      <c r="B138" t="s">
        <v>499</v>
      </c>
      <c r="C138" t="s">
        <v>648</v>
      </c>
    </row>
    <row r="139" spans="1:3" x14ac:dyDescent="0.2">
      <c r="A139" t="s">
        <v>1750</v>
      </c>
      <c r="B139" t="s">
        <v>500</v>
      </c>
      <c r="C139" t="s">
        <v>648</v>
      </c>
    </row>
    <row r="140" spans="1:3" x14ac:dyDescent="0.2">
      <c r="A140" t="s">
        <v>178</v>
      </c>
      <c r="B140" t="s">
        <v>502</v>
      </c>
      <c r="C140" t="s">
        <v>648</v>
      </c>
    </row>
    <row r="141" spans="1:3" x14ac:dyDescent="0.2">
      <c r="A141" t="s">
        <v>179</v>
      </c>
      <c r="B141" t="s">
        <v>503</v>
      </c>
      <c r="C141" t="s">
        <v>648</v>
      </c>
    </row>
    <row r="142" spans="1:3" x14ac:dyDescent="0.2">
      <c r="A142" t="s">
        <v>180</v>
      </c>
      <c r="B142" t="s">
        <v>504</v>
      </c>
      <c r="C142" t="s">
        <v>648</v>
      </c>
    </row>
    <row r="143" spans="1:3" x14ac:dyDescent="0.2">
      <c r="A143" t="s">
        <v>181</v>
      </c>
      <c r="B143" t="s">
        <v>505</v>
      </c>
      <c r="C143" t="s">
        <v>648</v>
      </c>
    </row>
    <row r="144" spans="1:3" x14ac:dyDescent="0.2">
      <c r="A144" t="s">
        <v>182</v>
      </c>
      <c r="B144" t="s">
        <v>506</v>
      </c>
      <c r="C144" t="s">
        <v>648</v>
      </c>
    </row>
    <row r="145" spans="1:3" x14ac:dyDescent="0.2">
      <c r="A145" t="s">
        <v>183</v>
      </c>
      <c r="B145" t="s">
        <v>507</v>
      </c>
      <c r="C145" t="s">
        <v>648</v>
      </c>
    </row>
    <row r="146" spans="1:3" x14ac:dyDescent="0.2">
      <c r="A146" t="s">
        <v>184</v>
      </c>
      <c r="B146" t="s">
        <v>508</v>
      </c>
      <c r="C146" t="s">
        <v>648</v>
      </c>
    </row>
    <row r="147" spans="1:3" x14ac:dyDescent="0.2">
      <c r="A147" t="s">
        <v>185</v>
      </c>
      <c r="B147" t="s">
        <v>509</v>
      </c>
      <c r="C147" t="s">
        <v>648</v>
      </c>
    </row>
    <row r="148" spans="1:3" x14ac:dyDescent="0.2">
      <c r="A148" t="s">
        <v>186</v>
      </c>
      <c r="B148" t="s">
        <v>510</v>
      </c>
      <c r="C148" t="s">
        <v>648</v>
      </c>
    </row>
    <row r="149" spans="1:3" x14ac:dyDescent="0.2">
      <c r="A149" t="s">
        <v>1751</v>
      </c>
      <c r="B149" t="s">
        <v>511</v>
      </c>
      <c r="C149" t="s">
        <v>648</v>
      </c>
    </row>
    <row r="150" spans="1:3" x14ac:dyDescent="0.2">
      <c r="A150" t="s">
        <v>1752</v>
      </c>
      <c r="B150" t="s">
        <v>513</v>
      </c>
      <c r="C150" t="s">
        <v>648</v>
      </c>
    </row>
    <row r="151" spans="1:3" x14ac:dyDescent="0.2">
      <c r="A151" t="s">
        <v>191</v>
      </c>
      <c r="B151" t="s">
        <v>515</v>
      </c>
      <c r="C151" t="s">
        <v>648</v>
      </c>
    </row>
    <row r="152" spans="1:3" x14ac:dyDescent="0.2">
      <c r="A152" t="s">
        <v>1753</v>
      </c>
      <c r="B152" t="s">
        <v>516</v>
      </c>
      <c r="C152" t="s">
        <v>648</v>
      </c>
    </row>
    <row r="153" spans="1:3" x14ac:dyDescent="0.2">
      <c r="A153" t="s">
        <v>1754</v>
      </c>
      <c r="B153" t="s">
        <v>518</v>
      </c>
      <c r="C153" t="s">
        <v>648</v>
      </c>
    </row>
    <row r="154" spans="1:3" x14ac:dyDescent="0.2">
      <c r="A154" t="s">
        <v>196</v>
      </c>
      <c r="B154" t="s">
        <v>520</v>
      </c>
      <c r="C154" t="s">
        <v>648</v>
      </c>
    </row>
    <row r="155" spans="1:3" x14ac:dyDescent="0.2">
      <c r="A155" t="s">
        <v>1755</v>
      </c>
      <c r="B155" t="s">
        <v>521</v>
      </c>
      <c r="C155" t="s">
        <v>648</v>
      </c>
    </row>
    <row r="156" spans="1:3" x14ac:dyDescent="0.2">
      <c r="A156" t="s">
        <v>199</v>
      </c>
      <c r="B156" t="s">
        <v>523</v>
      </c>
      <c r="C156" t="s">
        <v>648</v>
      </c>
    </row>
    <row r="157" spans="1:3" x14ac:dyDescent="0.2">
      <c r="A157" t="s">
        <v>200</v>
      </c>
      <c r="B157" t="s">
        <v>524</v>
      </c>
      <c r="C157" t="s">
        <v>648</v>
      </c>
    </row>
    <row r="158" spans="1:3" x14ac:dyDescent="0.2">
      <c r="A158" t="s">
        <v>201</v>
      </c>
      <c r="B158" t="s">
        <v>525</v>
      </c>
      <c r="C158" t="s">
        <v>648</v>
      </c>
    </row>
    <row r="159" spans="1:3" x14ac:dyDescent="0.2">
      <c r="A159" t="s">
        <v>202</v>
      </c>
      <c r="B159" t="s">
        <v>526</v>
      </c>
      <c r="C159" t="s">
        <v>648</v>
      </c>
    </row>
    <row r="160" spans="1:3" x14ac:dyDescent="0.2">
      <c r="A160" t="s">
        <v>1756</v>
      </c>
      <c r="B160" t="s">
        <v>527</v>
      </c>
      <c r="C160" t="s">
        <v>648</v>
      </c>
    </row>
    <row r="161" spans="1:3" x14ac:dyDescent="0.2">
      <c r="A161" t="s">
        <v>206</v>
      </c>
      <c r="B161" t="s">
        <v>530</v>
      </c>
      <c r="C161" t="s">
        <v>648</v>
      </c>
    </row>
    <row r="162" spans="1:3" x14ac:dyDescent="0.2">
      <c r="A162" t="s">
        <v>207</v>
      </c>
      <c r="B162" t="s">
        <v>531</v>
      </c>
      <c r="C162" t="s">
        <v>648</v>
      </c>
    </row>
    <row r="163" spans="1:3" x14ac:dyDescent="0.2">
      <c r="A163" t="s">
        <v>208</v>
      </c>
      <c r="B163" t="s">
        <v>532</v>
      </c>
      <c r="C163" t="s">
        <v>648</v>
      </c>
    </row>
    <row r="164" spans="1:3" x14ac:dyDescent="0.2">
      <c r="A164" t="s">
        <v>209</v>
      </c>
      <c r="B164" t="s">
        <v>533</v>
      </c>
      <c r="C164" t="s">
        <v>648</v>
      </c>
    </row>
    <row r="165" spans="1:3" x14ac:dyDescent="0.2">
      <c r="A165" t="s">
        <v>210</v>
      </c>
      <c r="B165" t="s">
        <v>534</v>
      </c>
      <c r="C165" t="s">
        <v>648</v>
      </c>
    </row>
    <row r="166" spans="1:3" x14ac:dyDescent="0.2">
      <c r="A166" t="s">
        <v>211</v>
      </c>
      <c r="B166" t="s">
        <v>535</v>
      </c>
      <c r="C166" t="s">
        <v>648</v>
      </c>
    </row>
    <row r="167" spans="1:3" x14ac:dyDescent="0.2">
      <c r="A167" t="s">
        <v>212</v>
      </c>
      <c r="B167" t="s">
        <v>536</v>
      </c>
      <c r="C167" t="s">
        <v>648</v>
      </c>
    </row>
    <row r="168" spans="1:3" x14ac:dyDescent="0.2">
      <c r="A168" t="s">
        <v>213</v>
      </c>
      <c r="B168" t="s">
        <v>537</v>
      </c>
      <c r="C168" t="s">
        <v>648</v>
      </c>
    </row>
    <row r="169" spans="1:3" x14ac:dyDescent="0.2">
      <c r="A169" t="s">
        <v>1757</v>
      </c>
      <c r="B169" t="s">
        <v>538</v>
      </c>
      <c r="C169" t="s">
        <v>648</v>
      </c>
    </row>
    <row r="170" spans="1:3" x14ac:dyDescent="0.2">
      <c r="A170" t="s">
        <v>216</v>
      </c>
      <c r="B170" t="s">
        <v>540</v>
      </c>
      <c r="C170" t="s">
        <v>648</v>
      </c>
    </row>
    <row r="171" spans="1:3" x14ac:dyDescent="0.2">
      <c r="A171" t="s">
        <v>217</v>
      </c>
      <c r="B171" t="s">
        <v>541</v>
      </c>
      <c r="C171" t="s">
        <v>648</v>
      </c>
    </row>
    <row r="172" spans="1:3" x14ac:dyDescent="0.2">
      <c r="A172" t="s">
        <v>1758</v>
      </c>
      <c r="B172" t="s">
        <v>542</v>
      </c>
      <c r="C172" t="s">
        <v>648</v>
      </c>
    </row>
    <row r="173" spans="1:3" x14ac:dyDescent="0.2">
      <c r="A173" t="s">
        <v>1759</v>
      </c>
      <c r="B173" t="s">
        <v>544</v>
      </c>
      <c r="C173" t="s">
        <v>648</v>
      </c>
    </row>
    <row r="174" spans="1:3" x14ac:dyDescent="0.2">
      <c r="A174" t="s">
        <v>222</v>
      </c>
      <c r="B174" t="s">
        <v>546</v>
      </c>
      <c r="C174" t="s">
        <v>648</v>
      </c>
    </row>
    <row r="175" spans="1:3" x14ac:dyDescent="0.2">
      <c r="A175" t="s">
        <v>1760</v>
      </c>
      <c r="B175" t="s">
        <v>547</v>
      </c>
      <c r="C175" t="s">
        <v>648</v>
      </c>
    </row>
    <row r="176" spans="1:3" x14ac:dyDescent="0.2">
      <c r="A176" t="s">
        <v>1761</v>
      </c>
      <c r="B176" t="s">
        <v>549</v>
      </c>
      <c r="C176" t="s">
        <v>648</v>
      </c>
    </row>
    <row r="177" spans="1:3" x14ac:dyDescent="0.2">
      <c r="A177" t="s">
        <v>227</v>
      </c>
      <c r="B177" t="s">
        <v>551</v>
      </c>
      <c r="C177" t="s">
        <v>648</v>
      </c>
    </row>
    <row r="178" spans="1:3" x14ac:dyDescent="0.2">
      <c r="A178" t="s">
        <v>228</v>
      </c>
      <c r="B178" t="s">
        <v>552</v>
      </c>
      <c r="C178" t="s">
        <v>648</v>
      </c>
    </row>
    <row r="179" spans="1:3" x14ac:dyDescent="0.2">
      <c r="A179" t="s">
        <v>229</v>
      </c>
      <c r="B179" t="s">
        <v>553</v>
      </c>
      <c r="C179" t="s">
        <v>648</v>
      </c>
    </row>
    <row r="180" spans="1:3" x14ac:dyDescent="0.2">
      <c r="A180" t="s">
        <v>230</v>
      </c>
      <c r="B180" t="s">
        <v>554</v>
      </c>
      <c r="C180" t="s">
        <v>648</v>
      </c>
    </row>
    <row r="181" spans="1:3" x14ac:dyDescent="0.2">
      <c r="A181" t="s">
        <v>231</v>
      </c>
      <c r="B181" t="s">
        <v>555</v>
      </c>
      <c r="C181" t="s">
        <v>648</v>
      </c>
    </row>
    <row r="182" spans="1:3" x14ac:dyDescent="0.2">
      <c r="A182" t="s">
        <v>232</v>
      </c>
      <c r="B182" t="s">
        <v>556</v>
      </c>
      <c r="C182" t="s">
        <v>648</v>
      </c>
    </row>
    <row r="183" spans="1:3" x14ac:dyDescent="0.2">
      <c r="A183" t="s">
        <v>233</v>
      </c>
      <c r="B183" t="s">
        <v>557</v>
      </c>
      <c r="C183" t="s">
        <v>648</v>
      </c>
    </row>
    <row r="184" spans="1:3" x14ac:dyDescent="0.2">
      <c r="A184" t="s">
        <v>234</v>
      </c>
      <c r="B184" t="s">
        <v>558</v>
      </c>
      <c r="C184" t="s">
        <v>648</v>
      </c>
    </row>
    <row r="185" spans="1:3" x14ac:dyDescent="0.2">
      <c r="A185" t="s">
        <v>235</v>
      </c>
      <c r="B185" t="s">
        <v>559</v>
      </c>
      <c r="C185" t="s">
        <v>648</v>
      </c>
    </row>
    <row r="186" spans="1:3" x14ac:dyDescent="0.2">
      <c r="A186" t="s">
        <v>236</v>
      </c>
      <c r="B186" t="s">
        <v>560</v>
      </c>
      <c r="C186" t="s">
        <v>648</v>
      </c>
    </row>
    <row r="187" spans="1:3" x14ac:dyDescent="0.2">
      <c r="A187" t="s">
        <v>1762</v>
      </c>
      <c r="B187" t="s">
        <v>561</v>
      </c>
      <c r="C187" t="s">
        <v>648</v>
      </c>
    </row>
    <row r="188" spans="1:3" x14ac:dyDescent="0.2">
      <c r="A188" t="s">
        <v>1763</v>
      </c>
      <c r="B188" t="s">
        <v>563</v>
      </c>
      <c r="C188" t="s">
        <v>648</v>
      </c>
    </row>
    <row r="189" spans="1:3" x14ac:dyDescent="0.2">
      <c r="A189" t="s">
        <v>1764</v>
      </c>
      <c r="B189" t="s">
        <v>565</v>
      </c>
      <c r="C189" t="s">
        <v>648</v>
      </c>
    </row>
    <row r="190" spans="1:3" x14ac:dyDescent="0.2">
      <c r="A190" t="s">
        <v>243</v>
      </c>
      <c r="B190" t="s">
        <v>567</v>
      </c>
      <c r="C190" t="s">
        <v>648</v>
      </c>
    </row>
    <row r="191" spans="1:3" x14ac:dyDescent="0.2">
      <c r="A191" t="s">
        <v>1765</v>
      </c>
      <c r="B191" t="s">
        <v>568</v>
      </c>
      <c r="C191" t="s">
        <v>648</v>
      </c>
    </row>
    <row r="192" spans="1:3" x14ac:dyDescent="0.2">
      <c r="A192" t="s">
        <v>246</v>
      </c>
      <c r="B192" t="s">
        <v>570</v>
      </c>
      <c r="C192" t="s">
        <v>648</v>
      </c>
    </row>
    <row r="193" spans="1:3" x14ac:dyDescent="0.2">
      <c r="A193" t="s">
        <v>247</v>
      </c>
      <c r="B193" t="s">
        <v>571</v>
      </c>
      <c r="C193" t="s">
        <v>648</v>
      </c>
    </row>
    <row r="194" spans="1:3" x14ac:dyDescent="0.2">
      <c r="A194" t="s">
        <v>1766</v>
      </c>
      <c r="B194" t="s">
        <v>572</v>
      </c>
      <c r="C194" t="s">
        <v>648</v>
      </c>
    </row>
    <row r="195" spans="1:3" x14ac:dyDescent="0.2">
      <c r="A195" t="s">
        <v>250</v>
      </c>
      <c r="B195" t="s">
        <v>574</v>
      </c>
      <c r="C195" t="s">
        <v>648</v>
      </c>
    </row>
    <row r="196" spans="1:3" x14ac:dyDescent="0.2">
      <c r="A196" t="s">
        <v>251</v>
      </c>
      <c r="B196" t="s">
        <v>575</v>
      </c>
      <c r="C196" t="s">
        <v>648</v>
      </c>
    </row>
    <row r="197" spans="1:3" x14ac:dyDescent="0.2">
      <c r="A197" t="s">
        <v>252</v>
      </c>
      <c r="B197" t="s">
        <v>576</v>
      </c>
      <c r="C197" t="s">
        <v>648</v>
      </c>
    </row>
    <row r="198" spans="1:3" x14ac:dyDescent="0.2">
      <c r="A198" t="s">
        <v>253</v>
      </c>
      <c r="B198" t="s">
        <v>577</v>
      </c>
      <c r="C198" t="s">
        <v>648</v>
      </c>
    </row>
    <row r="199" spans="1:3" x14ac:dyDescent="0.2">
      <c r="A199" t="s">
        <v>254</v>
      </c>
      <c r="B199" t="s">
        <v>578</v>
      </c>
      <c r="C199" t="s">
        <v>648</v>
      </c>
    </row>
    <row r="200" spans="1:3" x14ac:dyDescent="0.2">
      <c r="A200" t="s">
        <v>1767</v>
      </c>
      <c r="B200" t="s">
        <v>579</v>
      </c>
      <c r="C200" t="s">
        <v>648</v>
      </c>
    </row>
    <row r="201" spans="1:3" x14ac:dyDescent="0.2">
      <c r="A201" t="s">
        <v>1768</v>
      </c>
      <c r="B201" t="s">
        <v>581</v>
      </c>
      <c r="C201" t="s">
        <v>648</v>
      </c>
    </row>
    <row r="202" spans="1:3" x14ac:dyDescent="0.2">
      <c r="A202" t="s">
        <v>259</v>
      </c>
      <c r="B202" t="s">
        <v>583</v>
      </c>
      <c r="C202" t="s">
        <v>648</v>
      </c>
    </row>
    <row r="203" spans="1:3" x14ac:dyDescent="0.2">
      <c r="A203" t="s">
        <v>260</v>
      </c>
      <c r="B203" t="s">
        <v>584</v>
      </c>
      <c r="C203" t="s">
        <v>648</v>
      </c>
    </row>
    <row r="204" spans="1:3" x14ac:dyDescent="0.2">
      <c r="A204" t="s">
        <v>261</v>
      </c>
      <c r="B204" t="s">
        <v>585</v>
      </c>
      <c r="C204" t="s">
        <v>648</v>
      </c>
    </row>
    <row r="205" spans="1:3" x14ac:dyDescent="0.2">
      <c r="A205" t="s">
        <v>1769</v>
      </c>
      <c r="B205" t="s">
        <v>586</v>
      </c>
      <c r="C205" t="s">
        <v>648</v>
      </c>
    </row>
    <row r="206" spans="1:3" x14ac:dyDescent="0.2">
      <c r="A206" t="s">
        <v>264</v>
      </c>
      <c r="B206" t="s">
        <v>588</v>
      </c>
      <c r="C206" t="s">
        <v>648</v>
      </c>
    </row>
    <row r="207" spans="1:3" x14ac:dyDescent="0.2">
      <c r="A207" t="s">
        <v>1770</v>
      </c>
      <c r="B207" t="s">
        <v>589</v>
      </c>
      <c r="C207" t="s">
        <v>648</v>
      </c>
    </row>
    <row r="208" spans="1:3" x14ac:dyDescent="0.2">
      <c r="A208" t="s">
        <v>267</v>
      </c>
      <c r="B208" t="s">
        <v>591</v>
      </c>
      <c r="C208" t="s">
        <v>648</v>
      </c>
    </row>
    <row r="209" spans="1:3" x14ac:dyDescent="0.2">
      <c r="A209" t="s">
        <v>268</v>
      </c>
      <c r="B209" t="s">
        <v>592</v>
      </c>
      <c r="C209" t="s">
        <v>648</v>
      </c>
    </row>
    <row r="210" spans="1:3" x14ac:dyDescent="0.2">
      <c r="A210" t="s">
        <v>1771</v>
      </c>
      <c r="B210" t="s">
        <v>593</v>
      </c>
      <c r="C210" t="s">
        <v>648</v>
      </c>
    </row>
    <row r="211" spans="1:3" x14ac:dyDescent="0.2">
      <c r="A211" t="s">
        <v>1772</v>
      </c>
      <c r="B211" t="s">
        <v>595</v>
      </c>
      <c r="C211" t="s">
        <v>648</v>
      </c>
    </row>
    <row r="212" spans="1:3" x14ac:dyDescent="0.2">
      <c r="A212" t="s">
        <v>273</v>
      </c>
      <c r="B212" t="s">
        <v>597</v>
      </c>
      <c r="C212" t="s">
        <v>648</v>
      </c>
    </row>
    <row r="213" spans="1:3" x14ac:dyDescent="0.2">
      <c r="A213" t="s">
        <v>274</v>
      </c>
      <c r="B213" t="s">
        <v>598</v>
      </c>
      <c r="C213" t="s">
        <v>648</v>
      </c>
    </row>
    <row r="214" spans="1:3" x14ac:dyDescent="0.2">
      <c r="A214" t="s">
        <v>275</v>
      </c>
      <c r="B214" t="s">
        <v>599</v>
      </c>
      <c r="C214" t="s">
        <v>648</v>
      </c>
    </row>
    <row r="215" spans="1:3" x14ac:dyDescent="0.2">
      <c r="A215" t="s">
        <v>276</v>
      </c>
      <c r="B215" t="s">
        <v>600</v>
      </c>
      <c r="C215" t="s">
        <v>648</v>
      </c>
    </row>
    <row r="216" spans="1:3" x14ac:dyDescent="0.2">
      <c r="A216" t="s">
        <v>277</v>
      </c>
      <c r="B216" t="s">
        <v>601</v>
      </c>
      <c r="C216" t="s">
        <v>648</v>
      </c>
    </row>
    <row r="217" spans="1:3" x14ac:dyDescent="0.2">
      <c r="A217" t="s">
        <v>278</v>
      </c>
      <c r="B217" t="s">
        <v>602</v>
      </c>
      <c r="C217" t="s">
        <v>648</v>
      </c>
    </row>
    <row r="218" spans="1:3" x14ac:dyDescent="0.2">
      <c r="A218" t="s">
        <v>279</v>
      </c>
      <c r="B218" t="s">
        <v>603</v>
      </c>
      <c r="C218" t="s">
        <v>648</v>
      </c>
    </row>
    <row r="219" spans="1:3" x14ac:dyDescent="0.2">
      <c r="A219" t="s">
        <v>280</v>
      </c>
      <c r="B219" t="s">
        <v>604</v>
      </c>
      <c r="C219" t="s">
        <v>648</v>
      </c>
    </row>
    <row r="220" spans="1:3" x14ac:dyDescent="0.2">
      <c r="A220" t="s">
        <v>281</v>
      </c>
      <c r="B220" t="s">
        <v>605</v>
      </c>
      <c r="C220" t="s">
        <v>648</v>
      </c>
    </row>
    <row r="221" spans="1:3" x14ac:dyDescent="0.2">
      <c r="A221" t="s">
        <v>282</v>
      </c>
      <c r="B221" t="s">
        <v>606</v>
      </c>
      <c r="C221" t="s">
        <v>648</v>
      </c>
    </row>
    <row r="222" spans="1:3" x14ac:dyDescent="0.2">
      <c r="A222" t="s">
        <v>283</v>
      </c>
      <c r="B222" t="s">
        <v>607</v>
      </c>
      <c r="C222" t="s">
        <v>648</v>
      </c>
    </row>
    <row r="223" spans="1:3" x14ac:dyDescent="0.2">
      <c r="A223" t="s">
        <v>284</v>
      </c>
      <c r="B223" t="s">
        <v>608</v>
      </c>
      <c r="C223" t="s">
        <v>648</v>
      </c>
    </row>
    <row r="224" spans="1:3" x14ac:dyDescent="0.2">
      <c r="A224" t="s">
        <v>285</v>
      </c>
      <c r="B224" t="s">
        <v>609</v>
      </c>
      <c r="C224" t="s">
        <v>648</v>
      </c>
    </row>
    <row r="225" spans="1:3" x14ac:dyDescent="0.2">
      <c r="A225" t="s">
        <v>286</v>
      </c>
      <c r="B225" t="s">
        <v>610</v>
      </c>
      <c r="C225" t="s">
        <v>648</v>
      </c>
    </row>
    <row r="226" spans="1:3" x14ac:dyDescent="0.2">
      <c r="A226" t="s">
        <v>287</v>
      </c>
      <c r="B226" t="s">
        <v>611</v>
      </c>
      <c r="C226" t="s">
        <v>648</v>
      </c>
    </row>
    <row r="227" spans="1:3" x14ac:dyDescent="0.2">
      <c r="A227" t="s">
        <v>288</v>
      </c>
      <c r="B227" t="s">
        <v>612</v>
      </c>
      <c r="C227" t="s">
        <v>648</v>
      </c>
    </row>
    <row r="228" spans="1:3" x14ac:dyDescent="0.2">
      <c r="A228" t="s">
        <v>289</v>
      </c>
      <c r="B228" t="s">
        <v>613</v>
      </c>
      <c r="C228" t="s">
        <v>648</v>
      </c>
    </row>
    <row r="229" spans="1:3" x14ac:dyDescent="0.2">
      <c r="A229" t="s">
        <v>290</v>
      </c>
      <c r="B229" t="s">
        <v>614</v>
      </c>
      <c r="C229" t="s">
        <v>648</v>
      </c>
    </row>
    <row r="230" spans="1:3" x14ac:dyDescent="0.2">
      <c r="A230" t="s">
        <v>291</v>
      </c>
      <c r="B230" t="s">
        <v>615</v>
      </c>
      <c r="C230" t="s">
        <v>648</v>
      </c>
    </row>
    <row r="231" spans="1:3" x14ac:dyDescent="0.2">
      <c r="A231" t="s">
        <v>292</v>
      </c>
      <c r="B231" t="s">
        <v>616</v>
      </c>
      <c r="C231" t="s">
        <v>648</v>
      </c>
    </row>
    <row r="232" spans="1:3" x14ac:dyDescent="0.2">
      <c r="A232" t="s">
        <v>293</v>
      </c>
      <c r="B232" t="s">
        <v>617</v>
      </c>
      <c r="C232" t="s">
        <v>648</v>
      </c>
    </row>
    <row r="233" spans="1:3" x14ac:dyDescent="0.2">
      <c r="A233" t="s">
        <v>294</v>
      </c>
      <c r="B233" t="s">
        <v>618</v>
      </c>
      <c r="C233" t="s">
        <v>648</v>
      </c>
    </row>
    <row r="234" spans="1:3" x14ac:dyDescent="0.2">
      <c r="A234" t="s">
        <v>295</v>
      </c>
      <c r="B234" t="s">
        <v>619</v>
      </c>
      <c r="C234" t="s">
        <v>648</v>
      </c>
    </row>
    <row r="235" spans="1:3" x14ac:dyDescent="0.2">
      <c r="A235" t="s">
        <v>296</v>
      </c>
      <c r="B235" t="s">
        <v>620</v>
      </c>
      <c r="C235" t="s">
        <v>648</v>
      </c>
    </row>
    <row r="236" spans="1:3" x14ac:dyDescent="0.2">
      <c r="A236" t="s">
        <v>297</v>
      </c>
      <c r="B236" t="s">
        <v>621</v>
      </c>
      <c r="C236" t="s">
        <v>648</v>
      </c>
    </row>
    <row r="237" spans="1:3" x14ac:dyDescent="0.2">
      <c r="A237" t="s">
        <v>298</v>
      </c>
      <c r="B237" t="s">
        <v>622</v>
      </c>
      <c r="C237" t="s">
        <v>648</v>
      </c>
    </row>
    <row r="238" spans="1:3" x14ac:dyDescent="0.2">
      <c r="A238" t="s">
        <v>299</v>
      </c>
      <c r="B238" t="s">
        <v>623</v>
      </c>
      <c r="C238" t="s">
        <v>648</v>
      </c>
    </row>
    <row r="239" spans="1:3" x14ac:dyDescent="0.2">
      <c r="A239" t="s">
        <v>300</v>
      </c>
      <c r="B239" t="s">
        <v>624</v>
      </c>
      <c r="C239" t="s">
        <v>648</v>
      </c>
    </row>
    <row r="240" spans="1:3" x14ac:dyDescent="0.2">
      <c r="A240" t="s">
        <v>301</v>
      </c>
      <c r="B240" t="s">
        <v>625</v>
      </c>
      <c r="C240" t="s">
        <v>648</v>
      </c>
    </row>
    <row r="241" spans="1:3" x14ac:dyDescent="0.2">
      <c r="A241" t="s">
        <v>302</v>
      </c>
      <c r="B241" t="s">
        <v>626</v>
      </c>
      <c r="C241" t="s">
        <v>648</v>
      </c>
    </row>
    <row r="242" spans="1:3" x14ac:dyDescent="0.2">
      <c r="A242" t="s">
        <v>303</v>
      </c>
      <c r="B242" t="s">
        <v>627</v>
      </c>
      <c r="C242" t="s">
        <v>648</v>
      </c>
    </row>
    <row r="243" spans="1:3" x14ac:dyDescent="0.2">
      <c r="A243" t="s">
        <v>304</v>
      </c>
      <c r="B243" t="s">
        <v>628</v>
      </c>
      <c r="C243" t="s">
        <v>648</v>
      </c>
    </row>
    <row r="244" spans="1:3" x14ac:dyDescent="0.2">
      <c r="A244" t="s">
        <v>305</v>
      </c>
      <c r="B244" t="s">
        <v>629</v>
      </c>
      <c r="C244" t="s">
        <v>648</v>
      </c>
    </row>
    <row r="245" spans="1:3" x14ac:dyDescent="0.2">
      <c r="A245" t="s">
        <v>306</v>
      </c>
      <c r="B245" t="s">
        <v>630</v>
      </c>
      <c r="C245" t="s">
        <v>648</v>
      </c>
    </row>
    <row r="246" spans="1:3" x14ac:dyDescent="0.2">
      <c r="A246" t="s">
        <v>307</v>
      </c>
      <c r="B246" t="s">
        <v>631</v>
      </c>
      <c r="C246" t="s">
        <v>648</v>
      </c>
    </row>
    <row r="247" spans="1:3" x14ac:dyDescent="0.2">
      <c r="A247" t="s">
        <v>308</v>
      </c>
      <c r="B247" t="s">
        <v>632</v>
      </c>
      <c r="C247" t="s">
        <v>648</v>
      </c>
    </row>
    <row r="248" spans="1:3" x14ac:dyDescent="0.2">
      <c r="A248" t="s">
        <v>309</v>
      </c>
      <c r="B248" t="s">
        <v>633</v>
      </c>
      <c r="C248" t="s">
        <v>648</v>
      </c>
    </row>
    <row r="249" spans="1:3" x14ac:dyDescent="0.2">
      <c r="A249" t="s">
        <v>310</v>
      </c>
      <c r="B249" t="s">
        <v>634</v>
      </c>
      <c r="C249" t="s">
        <v>648</v>
      </c>
    </row>
    <row r="250" spans="1:3" x14ac:dyDescent="0.2">
      <c r="A250" t="s">
        <v>311</v>
      </c>
      <c r="B250" t="s">
        <v>635</v>
      </c>
      <c r="C250" t="s">
        <v>648</v>
      </c>
    </row>
    <row r="251" spans="1:3" x14ac:dyDescent="0.2">
      <c r="A251" t="s">
        <v>312</v>
      </c>
      <c r="B251" t="s">
        <v>636</v>
      </c>
      <c r="C251" t="s">
        <v>648</v>
      </c>
    </row>
    <row r="252" spans="1:3" x14ac:dyDescent="0.2">
      <c r="A252" t="s">
        <v>313</v>
      </c>
      <c r="B252" t="s">
        <v>637</v>
      </c>
      <c r="C252" t="s">
        <v>648</v>
      </c>
    </row>
    <row r="253" spans="1:3" x14ac:dyDescent="0.2">
      <c r="A253" t="s">
        <v>314</v>
      </c>
      <c r="B253" t="s">
        <v>638</v>
      </c>
      <c r="C253" t="s">
        <v>648</v>
      </c>
    </row>
    <row r="254" spans="1:3" x14ac:dyDescent="0.2">
      <c r="A254" t="s">
        <v>315</v>
      </c>
      <c r="B254" t="s">
        <v>639</v>
      </c>
      <c r="C254" t="s">
        <v>648</v>
      </c>
    </row>
    <row r="255" spans="1:3" x14ac:dyDescent="0.2">
      <c r="A255" t="s">
        <v>316</v>
      </c>
      <c r="B255" t="s">
        <v>640</v>
      </c>
      <c r="C255" t="s">
        <v>648</v>
      </c>
    </row>
    <row r="256" spans="1:3" x14ac:dyDescent="0.2">
      <c r="A256" t="s">
        <v>317</v>
      </c>
      <c r="B256" t="s">
        <v>641</v>
      </c>
      <c r="C256" t="s">
        <v>648</v>
      </c>
    </row>
    <row r="257" spans="1:3" x14ac:dyDescent="0.2">
      <c r="A257" t="s">
        <v>318</v>
      </c>
      <c r="B257" t="s">
        <v>642</v>
      </c>
      <c r="C257" t="s">
        <v>648</v>
      </c>
    </row>
    <row r="258" spans="1:3" x14ac:dyDescent="0.2">
      <c r="A258" t="s">
        <v>319</v>
      </c>
      <c r="B258" t="s">
        <v>643</v>
      </c>
      <c r="C258" t="s">
        <v>648</v>
      </c>
    </row>
    <row r="259" spans="1:3" x14ac:dyDescent="0.2">
      <c r="A259" t="s">
        <v>320</v>
      </c>
      <c r="B259" t="s">
        <v>644</v>
      </c>
      <c r="C259" t="s">
        <v>648</v>
      </c>
    </row>
    <row r="260" spans="1:3" x14ac:dyDescent="0.2">
      <c r="A260" t="s">
        <v>321</v>
      </c>
      <c r="B260" t="s">
        <v>645</v>
      </c>
      <c r="C260" t="s">
        <v>648</v>
      </c>
    </row>
    <row r="261" spans="1:3" x14ac:dyDescent="0.2">
      <c r="A261" t="s">
        <v>322</v>
      </c>
      <c r="B261" t="s">
        <v>646</v>
      </c>
      <c r="C261" t="s">
        <v>648</v>
      </c>
    </row>
    <row r="262" spans="1:3" x14ac:dyDescent="0.2">
      <c r="A262" t="s">
        <v>323</v>
      </c>
      <c r="B262" t="s">
        <v>647</v>
      </c>
      <c r="C262" t="s">
        <v>648</v>
      </c>
    </row>
  </sheetData>
  <sortState xmlns:xlrd2="http://schemas.microsoft.com/office/spreadsheetml/2017/richdata2" ref="A1:C323">
    <sortCondition ref="B1:B323"/>
  </sortState>
  <conditionalFormatting sqref="F1:F1048576 A1:A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D889B-9FB2-4549-9DC8-4CD803A0A3CA}">
  <dimension ref="A1:N114"/>
  <sheetViews>
    <sheetView workbookViewId="0">
      <selection activeCell="F1" sqref="F1:F57"/>
    </sheetView>
  </sheetViews>
  <sheetFormatPr baseColWidth="10" defaultRowHeight="16" x14ac:dyDescent="0.2"/>
  <cols>
    <col min="1" max="1" width="25.33203125" bestFit="1" customWidth="1"/>
    <col min="7" max="7" width="32.83203125" bestFit="1" customWidth="1"/>
    <col min="12" max="13" width="11" customWidth="1"/>
  </cols>
  <sheetData>
    <row r="1" spans="1:14" x14ac:dyDescent="0.2">
      <c r="A1" t="s">
        <v>327</v>
      </c>
      <c r="B1" t="s">
        <v>1166</v>
      </c>
      <c r="C1" t="s">
        <v>1166</v>
      </c>
      <c r="E1" t="s">
        <v>1166</v>
      </c>
      <c r="F1" t="str">
        <f>"z000"&amp;E1</f>
        <v>z0006799</v>
      </c>
      <c r="G1" t="s">
        <v>1712</v>
      </c>
      <c r="K1" s="10" t="s">
        <v>412</v>
      </c>
      <c r="L1" s="10" t="s">
        <v>413</v>
      </c>
      <c r="M1" s="10" t="s">
        <v>442</v>
      </c>
      <c r="N1" t="s">
        <v>1713</v>
      </c>
    </row>
    <row r="2" spans="1:14" x14ac:dyDescent="0.2">
      <c r="A2" t="s">
        <v>328</v>
      </c>
      <c r="B2" t="s">
        <v>1625</v>
      </c>
      <c r="C2" t="s">
        <v>1166</v>
      </c>
      <c r="E2" t="s">
        <v>1172</v>
      </c>
      <c r="F2" t="str">
        <f t="shared" ref="F2:F3" si="0">"z000"&amp;E2</f>
        <v>z0006802</v>
      </c>
      <c r="K2" s="10" t="s">
        <v>405</v>
      </c>
      <c r="L2" s="10" t="s">
        <v>406</v>
      </c>
      <c r="M2" s="10" t="s">
        <v>441</v>
      </c>
    </row>
    <row r="3" spans="1:14" x14ac:dyDescent="0.2">
      <c r="A3" t="s">
        <v>331</v>
      </c>
      <c r="B3" t="s">
        <v>1172</v>
      </c>
      <c r="C3" t="s">
        <v>1172</v>
      </c>
      <c r="E3" t="s">
        <v>1174</v>
      </c>
      <c r="F3" t="str">
        <f t="shared" si="0"/>
        <v>z0006803</v>
      </c>
      <c r="K3" s="10" t="s">
        <v>372</v>
      </c>
      <c r="L3" s="10" t="s">
        <v>373</v>
      </c>
    </row>
    <row r="4" spans="1:14" x14ac:dyDescent="0.2">
      <c r="A4" t="s">
        <v>332</v>
      </c>
      <c r="B4" t="s">
        <v>1627</v>
      </c>
      <c r="C4" t="s">
        <v>1172</v>
      </c>
      <c r="E4" t="s">
        <v>1181</v>
      </c>
      <c r="F4" t="str">
        <f>"z00"&amp;E4</f>
        <v>z0012480</v>
      </c>
      <c r="L4" s="10"/>
      <c r="M4" s="10"/>
    </row>
    <row r="5" spans="1:14" x14ac:dyDescent="0.2">
      <c r="A5" t="s">
        <v>333</v>
      </c>
      <c r="B5" t="s">
        <v>1174</v>
      </c>
      <c r="C5" t="s">
        <v>1174</v>
      </c>
      <c r="E5" t="s">
        <v>1184</v>
      </c>
      <c r="F5" t="str">
        <f t="shared" ref="F5:F46" si="1">"z00"&amp;E5</f>
        <v>z0012481</v>
      </c>
      <c r="M5" s="10"/>
    </row>
    <row r="6" spans="1:14" x14ac:dyDescent="0.2">
      <c r="A6" t="s">
        <v>334</v>
      </c>
      <c r="B6" t="s">
        <v>1629</v>
      </c>
      <c r="C6" t="s">
        <v>1174</v>
      </c>
      <c r="E6" t="s">
        <v>1198</v>
      </c>
      <c r="F6" t="str">
        <f t="shared" si="1"/>
        <v>z0012489</v>
      </c>
    </row>
    <row r="7" spans="1:14" x14ac:dyDescent="0.2">
      <c r="A7" t="s">
        <v>336</v>
      </c>
      <c r="B7" t="s">
        <v>1181</v>
      </c>
      <c r="C7" t="s">
        <v>1181</v>
      </c>
      <c r="E7" t="s">
        <v>1204</v>
      </c>
      <c r="F7" t="str">
        <f t="shared" si="1"/>
        <v>z0012492</v>
      </c>
    </row>
    <row r="8" spans="1:14" x14ac:dyDescent="0.2">
      <c r="A8" t="s">
        <v>337</v>
      </c>
      <c r="B8" t="s">
        <v>1543</v>
      </c>
      <c r="C8" t="s">
        <v>1181</v>
      </c>
      <c r="E8" t="s">
        <v>1212</v>
      </c>
      <c r="F8" t="str">
        <f t="shared" si="1"/>
        <v>z0012496</v>
      </c>
    </row>
    <row r="9" spans="1:14" x14ac:dyDescent="0.2">
      <c r="A9" t="s">
        <v>338</v>
      </c>
      <c r="B9" t="s">
        <v>1184</v>
      </c>
      <c r="C9" t="s">
        <v>1184</v>
      </c>
      <c r="E9" t="s">
        <v>1218</v>
      </c>
      <c r="F9" t="str">
        <f t="shared" si="1"/>
        <v>z0012500</v>
      </c>
    </row>
    <row r="10" spans="1:14" x14ac:dyDescent="0.2">
      <c r="A10" t="s">
        <v>339</v>
      </c>
      <c r="B10" t="s">
        <v>1545</v>
      </c>
      <c r="C10" t="s">
        <v>1184</v>
      </c>
      <c r="E10" t="s">
        <v>1228</v>
      </c>
      <c r="F10" t="str">
        <f t="shared" si="1"/>
        <v>z0012509</v>
      </c>
    </row>
    <row r="11" spans="1:14" x14ac:dyDescent="0.2">
      <c r="A11" t="s">
        <v>347</v>
      </c>
      <c r="B11" t="s">
        <v>1198</v>
      </c>
      <c r="C11" t="s">
        <v>1198</v>
      </c>
      <c r="E11" t="s">
        <v>1232</v>
      </c>
      <c r="F11" t="str">
        <f t="shared" si="1"/>
        <v>z0012514</v>
      </c>
    </row>
    <row r="12" spans="1:14" x14ac:dyDescent="0.2">
      <c r="A12" t="s">
        <v>348</v>
      </c>
      <c r="B12" t="s">
        <v>1547</v>
      </c>
      <c r="C12" t="s">
        <v>1198</v>
      </c>
      <c r="E12" t="s">
        <v>1238</v>
      </c>
      <c r="F12" t="str">
        <f t="shared" si="1"/>
        <v>z0012519</v>
      </c>
    </row>
    <row r="13" spans="1:14" x14ac:dyDescent="0.2">
      <c r="A13" t="s">
        <v>351</v>
      </c>
      <c r="B13" t="s">
        <v>1204</v>
      </c>
      <c r="C13" t="s">
        <v>1204</v>
      </c>
      <c r="E13" t="s">
        <v>1240</v>
      </c>
      <c r="F13" t="str">
        <f t="shared" si="1"/>
        <v>z0012520</v>
      </c>
    </row>
    <row r="14" spans="1:14" x14ac:dyDescent="0.2">
      <c r="A14" t="s">
        <v>352</v>
      </c>
      <c r="B14" t="s">
        <v>1549</v>
      </c>
      <c r="C14" t="s">
        <v>1204</v>
      </c>
      <c r="E14" t="s">
        <v>1242</v>
      </c>
      <c r="F14" t="str">
        <f t="shared" si="1"/>
        <v>z0012521</v>
      </c>
    </row>
    <row r="15" spans="1:14" x14ac:dyDescent="0.2">
      <c r="A15" t="s">
        <v>356</v>
      </c>
      <c r="B15" t="s">
        <v>1212</v>
      </c>
      <c r="C15" t="s">
        <v>1212</v>
      </c>
      <c r="E15" t="s">
        <v>1254</v>
      </c>
      <c r="F15" t="str">
        <f t="shared" si="1"/>
        <v>z0012527</v>
      </c>
    </row>
    <row r="16" spans="1:14" x14ac:dyDescent="0.2">
      <c r="A16" t="s">
        <v>357</v>
      </c>
      <c r="B16" t="s">
        <v>1551</v>
      </c>
      <c r="C16" t="s">
        <v>1212</v>
      </c>
      <c r="E16" t="s">
        <v>1264</v>
      </c>
      <c r="F16" t="str">
        <f t="shared" si="1"/>
        <v>z0016884</v>
      </c>
    </row>
    <row r="17" spans="1:6" x14ac:dyDescent="0.2">
      <c r="A17" t="s">
        <v>361</v>
      </c>
      <c r="B17" t="s">
        <v>1218</v>
      </c>
      <c r="C17" t="s">
        <v>1218</v>
      </c>
      <c r="E17" t="s">
        <v>1274</v>
      </c>
      <c r="F17" t="str">
        <f t="shared" si="1"/>
        <v>z0026450</v>
      </c>
    </row>
    <row r="18" spans="1:6" x14ac:dyDescent="0.2">
      <c r="A18" t="s">
        <v>362</v>
      </c>
      <c r="B18" t="s">
        <v>1553</v>
      </c>
      <c r="C18" t="s">
        <v>1218</v>
      </c>
      <c r="E18" t="s">
        <v>1277</v>
      </c>
      <c r="F18" t="str">
        <f t="shared" si="1"/>
        <v>z0026451</v>
      </c>
    </row>
    <row r="19" spans="1:6" x14ac:dyDescent="0.2">
      <c r="A19" t="s">
        <v>372</v>
      </c>
      <c r="B19" t="s">
        <v>1555</v>
      </c>
      <c r="C19" t="s">
        <v>1228</v>
      </c>
      <c r="E19" t="s">
        <v>1279</v>
      </c>
      <c r="F19" t="str">
        <f t="shared" si="1"/>
        <v>z0026452</v>
      </c>
    </row>
    <row r="20" spans="1:6" x14ac:dyDescent="0.2">
      <c r="A20" t="s">
        <v>373</v>
      </c>
      <c r="B20" t="s">
        <v>1557</v>
      </c>
      <c r="C20" t="s">
        <v>1557</v>
      </c>
      <c r="E20" t="s">
        <v>1283</v>
      </c>
      <c r="F20" t="str">
        <f t="shared" si="1"/>
        <v>z0026457</v>
      </c>
    </row>
    <row r="21" spans="1:6" x14ac:dyDescent="0.2">
      <c r="A21" t="s">
        <v>377</v>
      </c>
      <c r="B21" t="s">
        <v>1232</v>
      </c>
      <c r="C21" t="s">
        <v>1232</v>
      </c>
      <c r="E21" t="s">
        <v>1287</v>
      </c>
      <c r="F21" t="str">
        <f t="shared" si="1"/>
        <v>z0032021</v>
      </c>
    </row>
    <row r="22" spans="1:6" x14ac:dyDescent="0.2">
      <c r="A22" t="s">
        <v>378</v>
      </c>
      <c r="B22" t="s">
        <v>1559</v>
      </c>
      <c r="C22" t="s">
        <v>1232</v>
      </c>
      <c r="E22" t="s">
        <v>1315</v>
      </c>
      <c r="F22" t="str">
        <f t="shared" si="1"/>
        <v>z0037419</v>
      </c>
    </row>
    <row r="23" spans="1:6" x14ac:dyDescent="0.2">
      <c r="A23" t="s">
        <v>383</v>
      </c>
      <c r="B23" t="s">
        <v>1238</v>
      </c>
      <c r="C23" t="s">
        <v>1238</v>
      </c>
      <c r="E23" t="s">
        <v>1331</v>
      </c>
      <c r="F23" t="str">
        <f t="shared" si="1"/>
        <v>z0037469</v>
      </c>
    </row>
    <row r="24" spans="1:6" x14ac:dyDescent="0.2">
      <c r="A24" t="s">
        <v>384</v>
      </c>
      <c r="B24" t="s">
        <v>1561</v>
      </c>
      <c r="C24" t="s">
        <v>1238</v>
      </c>
      <c r="E24" t="s">
        <v>1700</v>
      </c>
      <c r="F24" t="str">
        <f t="shared" si="1"/>
        <v>z0061452</v>
      </c>
    </row>
    <row r="25" spans="1:6" x14ac:dyDescent="0.2">
      <c r="A25" t="s">
        <v>385</v>
      </c>
      <c r="B25" t="s">
        <v>1240</v>
      </c>
      <c r="C25" t="s">
        <v>1240</v>
      </c>
      <c r="E25" t="s">
        <v>1345</v>
      </c>
      <c r="F25" t="str">
        <f t="shared" si="1"/>
        <v>z0061467</v>
      </c>
    </row>
    <row r="26" spans="1:6" x14ac:dyDescent="0.2">
      <c r="A26" t="s">
        <v>386</v>
      </c>
      <c r="B26" t="s">
        <v>1563</v>
      </c>
      <c r="C26" t="s">
        <v>1240</v>
      </c>
      <c r="E26" t="s">
        <v>1349</v>
      </c>
      <c r="F26" t="str">
        <f t="shared" si="1"/>
        <v>z0062622</v>
      </c>
    </row>
    <row r="27" spans="1:6" x14ac:dyDescent="0.2">
      <c r="A27" t="s">
        <v>387</v>
      </c>
      <c r="B27" t="s">
        <v>1242</v>
      </c>
      <c r="C27" t="s">
        <v>1242</v>
      </c>
      <c r="E27" t="s">
        <v>1351</v>
      </c>
      <c r="F27" t="str">
        <f t="shared" si="1"/>
        <v>z0062627</v>
      </c>
    </row>
    <row r="28" spans="1:6" x14ac:dyDescent="0.2">
      <c r="A28" t="s">
        <v>388</v>
      </c>
      <c r="B28" t="s">
        <v>1565</v>
      </c>
      <c r="C28" t="s">
        <v>1242</v>
      </c>
      <c r="E28" t="s">
        <v>1353</v>
      </c>
      <c r="F28" t="str">
        <f t="shared" si="1"/>
        <v>z0062630</v>
      </c>
    </row>
    <row r="29" spans="1:6" x14ac:dyDescent="0.2">
      <c r="A29" t="s">
        <v>394</v>
      </c>
      <c r="B29" t="s">
        <v>1254</v>
      </c>
      <c r="C29" t="s">
        <v>1254</v>
      </c>
      <c r="E29" t="s">
        <v>1355</v>
      </c>
      <c r="F29" t="str">
        <f t="shared" si="1"/>
        <v>z0062634</v>
      </c>
    </row>
    <row r="30" spans="1:6" x14ac:dyDescent="0.2">
      <c r="A30" t="s">
        <v>395</v>
      </c>
      <c r="B30" t="s">
        <v>1567</v>
      </c>
      <c r="C30" t="s">
        <v>1254</v>
      </c>
      <c r="E30" t="s">
        <v>1357</v>
      </c>
      <c r="F30" t="str">
        <f t="shared" si="1"/>
        <v>z0062636</v>
      </c>
    </row>
    <row r="31" spans="1:6" x14ac:dyDescent="0.2">
      <c r="A31" t="s">
        <v>399</v>
      </c>
      <c r="B31" t="s">
        <v>1264</v>
      </c>
      <c r="C31" t="s">
        <v>1264</v>
      </c>
      <c r="E31" t="s">
        <v>1359</v>
      </c>
      <c r="F31" t="str">
        <f t="shared" si="1"/>
        <v>z0062680</v>
      </c>
    </row>
    <row r="32" spans="1:6" x14ac:dyDescent="0.2">
      <c r="A32" t="s">
        <v>400</v>
      </c>
      <c r="B32" t="s">
        <v>1581</v>
      </c>
      <c r="C32" t="s">
        <v>1264</v>
      </c>
      <c r="E32" t="s">
        <v>1363</v>
      </c>
      <c r="F32" t="str">
        <f t="shared" si="1"/>
        <v>z0062687</v>
      </c>
    </row>
    <row r="33" spans="1:6" x14ac:dyDescent="0.2">
      <c r="A33" t="s">
        <v>405</v>
      </c>
      <c r="B33" t="s">
        <v>1274</v>
      </c>
      <c r="C33" t="s">
        <v>1274</v>
      </c>
      <c r="E33" t="s">
        <v>1702</v>
      </c>
      <c r="F33" t="str">
        <f t="shared" si="1"/>
        <v>z0062694</v>
      </c>
    </row>
    <row r="34" spans="1:6" x14ac:dyDescent="0.2">
      <c r="A34" t="s">
        <v>406</v>
      </c>
      <c r="B34" t="s">
        <v>1583</v>
      </c>
      <c r="C34" t="s">
        <v>1274</v>
      </c>
      <c r="E34" t="s">
        <v>1704</v>
      </c>
      <c r="F34" t="str">
        <f t="shared" si="1"/>
        <v>z0062712</v>
      </c>
    </row>
    <row r="35" spans="1:6" x14ac:dyDescent="0.2">
      <c r="A35" t="s">
        <v>407</v>
      </c>
      <c r="B35" t="s">
        <v>1277</v>
      </c>
      <c r="C35" t="s">
        <v>1277</v>
      </c>
      <c r="E35" t="s">
        <v>1706</v>
      </c>
      <c r="F35" t="str">
        <f t="shared" si="1"/>
        <v>z0062726</v>
      </c>
    </row>
    <row r="36" spans="1:6" x14ac:dyDescent="0.2">
      <c r="A36" t="s">
        <v>408</v>
      </c>
      <c r="B36" t="s">
        <v>1585</v>
      </c>
      <c r="C36" t="s">
        <v>1277</v>
      </c>
      <c r="E36" t="s">
        <v>1369</v>
      </c>
      <c r="F36" t="str">
        <f t="shared" si="1"/>
        <v>z0062742</v>
      </c>
    </row>
    <row r="37" spans="1:6" x14ac:dyDescent="0.2">
      <c r="A37" t="s">
        <v>409</v>
      </c>
      <c r="B37" t="s">
        <v>1279</v>
      </c>
      <c r="C37" t="s">
        <v>1279</v>
      </c>
      <c r="E37" t="s">
        <v>1371</v>
      </c>
      <c r="F37" t="str">
        <f t="shared" si="1"/>
        <v>z0062743</v>
      </c>
    </row>
    <row r="38" spans="1:6" x14ac:dyDescent="0.2">
      <c r="A38" t="s">
        <v>410</v>
      </c>
      <c r="B38" t="s">
        <v>1587</v>
      </c>
      <c r="C38" t="s">
        <v>1279</v>
      </c>
      <c r="E38" t="s">
        <v>1708</v>
      </c>
      <c r="F38" t="str">
        <f t="shared" si="1"/>
        <v>z0062751</v>
      </c>
    </row>
    <row r="39" spans="1:6" x14ac:dyDescent="0.2">
      <c r="A39" t="s">
        <v>412</v>
      </c>
      <c r="B39" t="s">
        <v>1283</v>
      </c>
      <c r="C39" t="s">
        <v>1283</v>
      </c>
      <c r="E39" t="s">
        <v>1373</v>
      </c>
      <c r="F39" t="str">
        <f t="shared" si="1"/>
        <v>z0062752</v>
      </c>
    </row>
    <row r="40" spans="1:6" ht="17" customHeight="1" x14ac:dyDescent="0.2">
      <c r="A40" t="s">
        <v>413</v>
      </c>
      <c r="B40" t="s">
        <v>1589</v>
      </c>
      <c r="C40" t="s">
        <v>1283</v>
      </c>
      <c r="E40" t="s">
        <v>1375</v>
      </c>
      <c r="F40" t="str">
        <f t="shared" si="1"/>
        <v>z0062761</v>
      </c>
    </row>
    <row r="41" spans="1:6" x14ac:dyDescent="0.2">
      <c r="A41" t="s">
        <v>415</v>
      </c>
      <c r="B41" t="s">
        <v>1287</v>
      </c>
      <c r="C41" t="s">
        <v>1287</v>
      </c>
      <c r="E41" t="s">
        <v>1377</v>
      </c>
      <c r="F41" t="str">
        <f t="shared" si="1"/>
        <v>z0062766</v>
      </c>
    </row>
    <row r="42" spans="1:6" x14ac:dyDescent="0.2">
      <c r="A42" t="s">
        <v>416</v>
      </c>
      <c r="B42" t="s">
        <v>1591</v>
      </c>
      <c r="C42" t="s">
        <v>1287</v>
      </c>
      <c r="E42" t="s">
        <v>1710</v>
      </c>
      <c r="F42" t="str">
        <f t="shared" si="1"/>
        <v>z0062780</v>
      </c>
    </row>
    <row r="43" spans="1:6" x14ac:dyDescent="0.2">
      <c r="A43" t="s">
        <v>428</v>
      </c>
      <c r="B43" t="s">
        <v>1315</v>
      </c>
      <c r="C43" t="s">
        <v>1315</v>
      </c>
      <c r="E43" t="s">
        <v>1379</v>
      </c>
      <c r="F43" t="str">
        <f t="shared" si="1"/>
        <v>z0062787</v>
      </c>
    </row>
    <row r="44" spans="1:6" x14ac:dyDescent="0.2">
      <c r="A44" t="s">
        <v>429</v>
      </c>
      <c r="B44" t="s">
        <v>1593</v>
      </c>
      <c r="C44" t="s">
        <v>1315</v>
      </c>
      <c r="E44" t="s">
        <v>1381</v>
      </c>
      <c r="F44" t="str">
        <f t="shared" si="1"/>
        <v>z0076691</v>
      </c>
    </row>
    <row r="45" spans="1:6" x14ac:dyDescent="0.2">
      <c r="A45" t="s">
        <v>437</v>
      </c>
      <c r="B45" t="s">
        <v>1331</v>
      </c>
      <c r="C45" t="s">
        <v>1331</v>
      </c>
      <c r="E45" t="s">
        <v>1385</v>
      </c>
      <c r="F45" t="str">
        <f t="shared" si="1"/>
        <v>z0076695</v>
      </c>
    </row>
    <row r="46" spans="1:6" x14ac:dyDescent="0.2">
      <c r="A46" t="s">
        <v>438</v>
      </c>
      <c r="B46" t="s">
        <v>1595</v>
      </c>
      <c r="C46" t="s">
        <v>1331</v>
      </c>
      <c r="E46" t="s">
        <v>1387</v>
      </c>
      <c r="F46" t="str">
        <f t="shared" si="1"/>
        <v>z0076697</v>
      </c>
    </row>
    <row r="47" spans="1:6" x14ac:dyDescent="0.2">
      <c r="A47" t="s">
        <v>445</v>
      </c>
      <c r="B47" t="s">
        <v>1700</v>
      </c>
      <c r="C47" t="s">
        <v>1700</v>
      </c>
      <c r="E47" t="s">
        <v>1409</v>
      </c>
      <c r="F47" t="str">
        <f>"z0"&amp;E47</f>
        <v>z0102605</v>
      </c>
    </row>
    <row r="48" spans="1:6" x14ac:dyDescent="0.2">
      <c r="A48" t="s">
        <v>446</v>
      </c>
      <c r="B48" t="s">
        <v>1701</v>
      </c>
      <c r="C48" t="s">
        <v>1700</v>
      </c>
      <c r="E48" t="s">
        <v>1411</v>
      </c>
      <c r="F48" t="str">
        <f t="shared" ref="F48:F57" si="2">"z0"&amp;E48</f>
        <v>z0102610</v>
      </c>
    </row>
    <row r="49" spans="1:6" x14ac:dyDescent="0.2">
      <c r="A49" t="s">
        <v>454</v>
      </c>
      <c r="B49" t="s">
        <v>1345</v>
      </c>
      <c r="C49" t="s">
        <v>1345</v>
      </c>
      <c r="E49" t="s">
        <v>1413</v>
      </c>
      <c r="F49" t="str">
        <f t="shared" si="2"/>
        <v>z0102616</v>
      </c>
    </row>
    <row r="50" spans="1:6" x14ac:dyDescent="0.2">
      <c r="A50" t="s">
        <v>455</v>
      </c>
      <c r="B50" t="s">
        <v>1597</v>
      </c>
      <c r="C50" t="s">
        <v>1345</v>
      </c>
      <c r="E50" t="s">
        <v>1417</v>
      </c>
      <c r="F50" t="str">
        <f t="shared" si="2"/>
        <v>z0117088</v>
      </c>
    </row>
    <row r="51" spans="1:6" x14ac:dyDescent="0.2">
      <c r="A51" t="s">
        <v>457</v>
      </c>
      <c r="B51" t="s">
        <v>1349</v>
      </c>
      <c r="C51" t="s">
        <v>1349</v>
      </c>
      <c r="E51" t="s">
        <v>1425</v>
      </c>
      <c r="F51" t="str">
        <f t="shared" si="2"/>
        <v>z0117103</v>
      </c>
    </row>
    <row r="52" spans="1:6" x14ac:dyDescent="0.2">
      <c r="A52" t="s">
        <v>458</v>
      </c>
      <c r="B52" t="s">
        <v>1599</v>
      </c>
      <c r="C52" t="s">
        <v>1349</v>
      </c>
      <c r="E52" t="s">
        <v>1437</v>
      </c>
      <c r="F52" t="str">
        <f t="shared" si="2"/>
        <v>z0134070</v>
      </c>
    </row>
    <row r="53" spans="1:6" x14ac:dyDescent="0.2">
      <c r="A53" t="s">
        <v>459</v>
      </c>
      <c r="B53" t="s">
        <v>1351</v>
      </c>
      <c r="C53" t="s">
        <v>1351</v>
      </c>
      <c r="E53" t="s">
        <v>1439</v>
      </c>
      <c r="F53" t="str">
        <f t="shared" si="2"/>
        <v>z0134074</v>
      </c>
    </row>
    <row r="54" spans="1:6" x14ac:dyDescent="0.2">
      <c r="A54" t="s">
        <v>460</v>
      </c>
      <c r="B54" t="s">
        <v>1601</v>
      </c>
      <c r="C54" t="s">
        <v>1351</v>
      </c>
      <c r="E54" t="s">
        <v>1448</v>
      </c>
      <c r="F54" t="str">
        <f t="shared" si="2"/>
        <v>z0134098</v>
      </c>
    </row>
    <row r="55" spans="1:6" x14ac:dyDescent="0.2">
      <c r="A55" t="s">
        <v>461</v>
      </c>
      <c r="B55" t="s">
        <v>1353</v>
      </c>
      <c r="C55" t="s">
        <v>1353</v>
      </c>
      <c r="E55" t="s">
        <v>1452</v>
      </c>
      <c r="F55" t="str">
        <f t="shared" si="2"/>
        <v>z0134108</v>
      </c>
    </row>
    <row r="56" spans="1:6" x14ac:dyDescent="0.2">
      <c r="A56" t="s">
        <v>462</v>
      </c>
      <c r="B56" t="s">
        <v>1603</v>
      </c>
      <c r="C56" t="s">
        <v>1353</v>
      </c>
      <c r="E56" t="s">
        <v>1458</v>
      </c>
      <c r="F56" t="str">
        <f t="shared" si="2"/>
        <v>z0134112</v>
      </c>
    </row>
    <row r="57" spans="1:6" x14ac:dyDescent="0.2">
      <c r="A57" t="s">
        <v>464</v>
      </c>
      <c r="B57" t="s">
        <v>1355</v>
      </c>
      <c r="C57" t="s">
        <v>1355</v>
      </c>
      <c r="E57" t="s">
        <v>1460</v>
      </c>
      <c r="F57" t="str">
        <f t="shared" si="2"/>
        <v>z0134113</v>
      </c>
    </row>
    <row r="58" spans="1:6" x14ac:dyDescent="0.2">
      <c r="A58" t="s">
        <v>465</v>
      </c>
      <c r="B58" t="s">
        <v>1605</v>
      </c>
      <c r="C58" t="s">
        <v>1355</v>
      </c>
    </row>
    <row r="59" spans="1:6" x14ac:dyDescent="0.2">
      <c r="A59" t="s">
        <v>466</v>
      </c>
      <c r="B59" t="s">
        <v>1357</v>
      </c>
      <c r="C59" t="s">
        <v>1357</v>
      </c>
    </row>
    <row r="60" spans="1:6" x14ac:dyDescent="0.2">
      <c r="A60" t="s">
        <v>467</v>
      </c>
      <c r="B60" t="s">
        <v>1607</v>
      </c>
      <c r="C60" t="s">
        <v>1357</v>
      </c>
    </row>
    <row r="61" spans="1:6" x14ac:dyDescent="0.2">
      <c r="A61" t="s">
        <v>468</v>
      </c>
      <c r="B61" t="s">
        <v>1359</v>
      </c>
      <c r="C61" t="s">
        <v>1359</v>
      </c>
    </row>
    <row r="62" spans="1:6" x14ac:dyDescent="0.2">
      <c r="A62" t="s">
        <v>469</v>
      </c>
      <c r="B62" t="s">
        <v>1609</v>
      </c>
      <c r="C62" t="s">
        <v>1359</v>
      </c>
    </row>
    <row r="63" spans="1:6" x14ac:dyDescent="0.2">
      <c r="A63" t="s">
        <v>473</v>
      </c>
      <c r="B63" t="s">
        <v>1363</v>
      </c>
      <c r="C63" t="s">
        <v>1363</v>
      </c>
    </row>
    <row r="64" spans="1:6" x14ac:dyDescent="0.2">
      <c r="A64" t="s">
        <v>474</v>
      </c>
      <c r="B64" t="s">
        <v>1611</v>
      </c>
      <c r="C64" t="s">
        <v>1363</v>
      </c>
    </row>
    <row r="65" spans="1:3" x14ac:dyDescent="0.2">
      <c r="A65" t="s">
        <v>479</v>
      </c>
      <c r="B65" t="s">
        <v>1702</v>
      </c>
      <c r="C65" t="s">
        <v>1702</v>
      </c>
    </row>
    <row r="66" spans="1:3" x14ac:dyDescent="0.2">
      <c r="A66" t="s">
        <v>480</v>
      </c>
      <c r="B66" t="s">
        <v>1703</v>
      </c>
      <c r="C66" t="s">
        <v>1702</v>
      </c>
    </row>
    <row r="67" spans="1:3" x14ac:dyDescent="0.2">
      <c r="A67" t="s">
        <v>490</v>
      </c>
      <c r="B67" t="s">
        <v>1704</v>
      </c>
      <c r="C67" t="s">
        <v>1704</v>
      </c>
    </row>
    <row r="68" spans="1:3" x14ac:dyDescent="0.2">
      <c r="A68" t="s">
        <v>491</v>
      </c>
      <c r="B68" t="s">
        <v>1705</v>
      </c>
      <c r="C68" t="s">
        <v>1704</v>
      </c>
    </row>
    <row r="69" spans="1:3" x14ac:dyDescent="0.2">
      <c r="A69" t="s">
        <v>500</v>
      </c>
      <c r="B69" t="s">
        <v>1706</v>
      </c>
      <c r="C69" t="s">
        <v>1706</v>
      </c>
    </row>
    <row r="70" spans="1:3" x14ac:dyDescent="0.2">
      <c r="A70" t="s">
        <v>501</v>
      </c>
      <c r="B70" t="s">
        <v>1707</v>
      </c>
      <c r="C70" t="s">
        <v>1706</v>
      </c>
    </row>
    <row r="71" spans="1:3" x14ac:dyDescent="0.2">
      <c r="A71" t="s">
        <v>511</v>
      </c>
      <c r="B71" t="s">
        <v>1369</v>
      </c>
      <c r="C71" t="s">
        <v>1369</v>
      </c>
    </row>
    <row r="72" spans="1:3" x14ac:dyDescent="0.2">
      <c r="A72" t="s">
        <v>512</v>
      </c>
      <c r="B72" t="s">
        <v>1613</v>
      </c>
      <c r="C72" t="s">
        <v>1369</v>
      </c>
    </row>
    <row r="73" spans="1:3" x14ac:dyDescent="0.2">
      <c r="A73" t="s">
        <v>513</v>
      </c>
      <c r="B73" t="s">
        <v>1371</v>
      </c>
      <c r="C73" t="s">
        <v>1371</v>
      </c>
    </row>
    <row r="74" spans="1:3" x14ac:dyDescent="0.2">
      <c r="A74" t="s">
        <v>514</v>
      </c>
      <c r="B74" t="s">
        <v>1615</v>
      </c>
      <c r="C74" t="s">
        <v>1371</v>
      </c>
    </row>
    <row r="75" spans="1:3" x14ac:dyDescent="0.2">
      <c r="A75" t="s">
        <v>516</v>
      </c>
      <c r="B75" t="s">
        <v>1708</v>
      </c>
      <c r="C75" t="s">
        <v>1708</v>
      </c>
    </row>
    <row r="76" spans="1:3" x14ac:dyDescent="0.2">
      <c r="A76" t="s">
        <v>517</v>
      </c>
      <c r="B76" t="s">
        <v>1709</v>
      </c>
      <c r="C76" t="s">
        <v>1708</v>
      </c>
    </row>
    <row r="77" spans="1:3" x14ac:dyDescent="0.2">
      <c r="A77" t="s">
        <v>518</v>
      </c>
      <c r="B77" t="s">
        <v>1373</v>
      </c>
      <c r="C77" t="s">
        <v>1373</v>
      </c>
    </row>
    <row r="78" spans="1:3" x14ac:dyDescent="0.2">
      <c r="A78" t="s">
        <v>519</v>
      </c>
      <c r="B78" t="s">
        <v>1617</v>
      </c>
      <c r="C78" t="s">
        <v>1373</v>
      </c>
    </row>
    <row r="79" spans="1:3" x14ac:dyDescent="0.2">
      <c r="A79" t="s">
        <v>521</v>
      </c>
      <c r="B79" t="s">
        <v>1375</v>
      </c>
      <c r="C79" t="s">
        <v>1375</v>
      </c>
    </row>
    <row r="80" spans="1:3" x14ac:dyDescent="0.2">
      <c r="A80" t="s">
        <v>522</v>
      </c>
      <c r="B80" t="s">
        <v>1619</v>
      </c>
      <c r="C80" t="s">
        <v>1375</v>
      </c>
    </row>
    <row r="81" spans="1:3" x14ac:dyDescent="0.2">
      <c r="A81" t="s">
        <v>527</v>
      </c>
      <c r="B81" t="s">
        <v>1377</v>
      </c>
      <c r="C81" t="s">
        <v>1377</v>
      </c>
    </row>
    <row r="82" spans="1:3" x14ac:dyDescent="0.2">
      <c r="A82" t="s">
        <v>528</v>
      </c>
      <c r="B82" t="s">
        <v>1621</v>
      </c>
      <c r="C82" t="s">
        <v>1377</v>
      </c>
    </row>
    <row r="83" spans="1:3" x14ac:dyDescent="0.2">
      <c r="A83" t="s">
        <v>538</v>
      </c>
      <c r="B83" t="s">
        <v>1710</v>
      </c>
      <c r="C83" t="s">
        <v>1710</v>
      </c>
    </row>
    <row r="84" spans="1:3" x14ac:dyDescent="0.2">
      <c r="A84" t="s">
        <v>539</v>
      </c>
      <c r="B84" t="s">
        <v>1711</v>
      </c>
      <c r="C84" t="s">
        <v>1710</v>
      </c>
    </row>
    <row r="85" spans="1:3" x14ac:dyDescent="0.2">
      <c r="A85" t="s">
        <v>542</v>
      </c>
      <c r="B85" t="s">
        <v>1379</v>
      </c>
      <c r="C85" t="s">
        <v>1379</v>
      </c>
    </row>
    <row r="86" spans="1:3" x14ac:dyDescent="0.2">
      <c r="A86" t="s">
        <v>543</v>
      </c>
      <c r="B86" t="s">
        <v>1623</v>
      </c>
      <c r="C86" t="s">
        <v>1379</v>
      </c>
    </row>
    <row r="87" spans="1:3" x14ac:dyDescent="0.2">
      <c r="A87" t="s">
        <v>544</v>
      </c>
      <c r="B87" t="s">
        <v>1381</v>
      </c>
      <c r="C87" t="s">
        <v>1381</v>
      </c>
    </row>
    <row r="88" spans="1:3" x14ac:dyDescent="0.2">
      <c r="A88" t="s">
        <v>545</v>
      </c>
      <c r="B88" t="s">
        <v>1631</v>
      </c>
      <c r="C88" t="s">
        <v>1381</v>
      </c>
    </row>
    <row r="89" spans="1:3" x14ac:dyDescent="0.2">
      <c r="A89" t="s">
        <v>547</v>
      </c>
      <c r="B89" t="s">
        <v>1385</v>
      </c>
      <c r="C89" t="s">
        <v>1385</v>
      </c>
    </row>
    <row r="90" spans="1:3" x14ac:dyDescent="0.2">
      <c r="A90" t="s">
        <v>548</v>
      </c>
      <c r="B90" t="s">
        <v>1633</v>
      </c>
      <c r="C90" t="s">
        <v>1385</v>
      </c>
    </row>
    <row r="91" spans="1:3" x14ac:dyDescent="0.2">
      <c r="A91" t="s">
        <v>549</v>
      </c>
      <c r="B91" t="s">
        <v>1387</v>
      </c>
      <c r="C91" t="s">
        <v>1387</v>
      </c>
    </row>
    <row r="92" spans="1:3" x14ac:dyDescent="0.2">
      <c r="A92" t="s">
        <v>550</v>
      </c>
      <c r="B92" t="s">
        <v>1635</v>
      </c>
      <c r="C92" t="s">
        <v>1387</v>
      </c>
    </row>
    <row r="93" spans="1:3" x14ac:dyDescent="0.2">
      <c r="A93" t="s">
        <v>561</v>
      </c>
      <c r="B93" t="s">
        <v>1409</v>
      </c>
      <c r="C93" t="s">
        <v>1409</v>
      </c>
    </row>
    <row r="94" spans="1:3" x14ac:dyDescent="0.2">
      <c r="A94" t="s">
        <v>562</v>
      </c>
      <c r="B94" t="s">
        <v>1533</v>
      </c>
      <c r="C94" t="s">
        <v>1409</v>
      </c>
    </row>
    <row r="95" spans="1:3" x14ac:dyDescent="0.2">
      <c r="A95" t="s">
        <v>563</v>
      </c>
      <c r="B95" t="s">
        <v>1411</v>
      </c>
      <c r="C95" t="s">
        <v>1411</v>
      </c>
    </row>
    <row r="96" spans="1:3" x14ac:dyDescent="0.2">
      <c r="A96" t="s">
        <v>564</v>
      </c>
      <c r="B96" t="s">
        <v>1535</v>
      </c>
      <c r="C96" t="s">
        <v>1411</v>
      </c>
    </row>
    <row r="97" spans="1:3" x14ac:dyDescent="0.2">
      <c r="A97" t="s">
        <v>565</v>
      </c>
      <c r="B97" t="s">
        <v>1413</v>
      </c>
      <c r="C97" t="s">
        <v>1413</v>
      </c>
    </row>
    <row r="98" spans="1:3" x14ac:dyDescent="0.2">
      <c r="A98" t="s">
        <v>566</v>
      </c>
      <c r="B98" t="s">
        <v>1537</v>
      </c>
      <c r="C98" t="s">
        <v>1413</v>
      </c>
    </row>
    <row r="99" spans="1:3" x14ac:dyDescent="0.2">
      <c r="A99" t="s">
        <v>568</v>
      </c>
      <c r="B99" t="s">
        <v>1417</v>
      </c>
      <c r="C99" t="s">
        <v>1417</v>
      </c>
    </row>
    <row r="100" spans="1:3" x14ac:dyDescent="0.2">
      <c r="A100" t="s">
        <v>569</v>
      </c>
      <c r="B100" t="s">
        <v>1539</v>
      </c>
      <c r="C100" t="s">
        <v>1417</v>
      </c>
    </row>
    <row r="101" spans="1:3" x14ac:dyDescent="0.2">
      <c r="A101" t="s">
        <v>572</v>
      </c>
      <c r="B101" t="s">
        <v>1425</v>
      </c>
      <c r="C101" t="s">
        <v>1425</v>
      </c>
    </row>
    <row r="102" spans="1:3" x14ac:dyDescent="0.2">
      <c r="A102" t="s">
        <v>573</v>
      </c>
      <c r="B102" t="s">
        <v>1541</v>
      </c>
      <c r="C102" t="s">
        <v>1425</v>
      </c>
    </row>
    <row r="103" spans="1:3" x14ac:dyDescent="0.2">
      <c r="A103" t="s">
        <v>579</v>
      </c>
      <c r="B103" t="s">
        <v>1437</v>
      </c>
      <c r="C103" t="s">
        <v>1437</v>
      </c>
    </row>
    <row r="104" spans="1:3" x14ac:dyDescent="0.2">
      <c r="A104" t="s">
        <v>580</v>
      </c>
      <c r="B104" t="s">
        <v>1569</v>
      </c>
      <c r="C104" t="s">
        <v>1437</v>
      </c>
    </row>
    <row r="105" spans="1:3" x14ac:dyDescent="0.2">
      <c r="A105" t="s">
        <v>581</v>
      </c>
      <c r="B105" t="s">
        <v>1439</v>
      </c>
      <c r="C105" t="s">
        <v>1439</v>
      </c>
    </row>
    <row r="106" spans="1:3" x14ac:dyDescent="0.2">
      <c r="A106" t="s">
        <v>582</v>
      </c>
      <c r="B106" t="s">
        <v>1571</v>
      </c>
      <c r="C106" t="s">
        <v>1439</v>
      </c>
    </row>
    <row r="107" spans="1:3" x14ac:dyDescent="0.2">
      <c r="A107" t="s">
        <v>586</v>
      </c>
      <c r="B107" t="s">
        <v>1448</v>
      </c>
      <c r="C107" t="s">
        <v>1448</v>
      </c>
    </row>
    <row r="108" spans="1:3" x14ac:dyDescent="0.2">
      <c r="A108" t="s">
        <v>587</v>
      </c>
      <c r="B108" t="s">
        <v>1573</v>
      </c>
      <c r="C108" t="s">
        <v>1448</v>
      </c>
    </row>
    <row r="109" spans="1:3" x14ac:dyDescent="0.2">
      <c r="A109" t="s">
        <v>589</v>
      </c>
      <c r="B109" t="s">
        <v>1452</v>
      </c>
      <c r="C109" t="s">
        <v>1452</v>
      </c>
    </row>
    <row r="110" spans="1:3" x14ac:dyDescent="0.2">
      <c r="A110" t="s">
        <v>590</v>
      </c>
      <c r="B110" t="s">
        <v>1575</v>
      </c>
      <c r="C110" t="s">
        <v>1452</v>
      </c>
    </row>
    <row r="111" spans="1:3" x14ac:dyDescent="0.2">
      <c r="A111" t="s">
        <v>593</v>
      </c>
      <c r="B111" t="s">
        <v>1458</v>
      </c>
      <c r="C111" t="s">
        <v>1458</v>
      </c>
    </row>
    <row r="112" spans="1:3" x14ac:dyDescent="0.2">
      <c r="A112" t="s">
        <v>594</v>
      </c>
      <c r="B112" t="s">
        <v>1577</v>
      </c>
      <c r="C112" t="s">
        <v>1458</v>
      </c>
    </row>
    <row r="113" spans="1:3" x14ac:dyDescent="0.2">
      <c r="A113" t="s">
        <v>595</v>
      </c>
      <c r="B113" t="s">
        <v>1460</v>
      </c>
      <c r="C113" t="s">
        <v>1460</v>
      </c>
    </row>
    <row r="114" spans="1:3" x14ac:dyDescent="0.2">
      <c r="A114" t="s">
        <v>596</v>
      </c>
      <c r="B114" t="s">
        <v>1579</v>
      </c>
      <c r="C114" t="s">
        <v>1460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C54E-F652-6647-863C-86CC705E3B43}">
  <dimension ref="A1:P68"/>
  <sheetViews>
    <sheetView workbookViewId="0">
      <selection activeCell="A9" sqref="A9:B9"/>
    </sheetView>
  </sheetViews>
  <sheetFormatPr baseColWidth="10" defaultRowHeight="16" x14ac:dyDescent="0.2"/>
  <cols>
    <col min="3" max="4" width="18.33203125" bestFit="1" customWidth="1"/>
    <col min="9" max="9" width="14.6640625" bestFit="1" customWidth="1"/>
    <col min="10" max="10" width="14" customWidth="1"/>
  </cols>
  <sheetData>
    <row r="1" spans="1:16" x14ac:dyDescent="0.2">
      <c r="A1" t="s">
        <v>1639</v>
      </c>
      <c r="B1" t="s">
        <v>1640</v>
      </c>
      <c r="C1" t="s">
        <v>1641</v>
      </c>
      <c r="D1" t="s">
        <v>1642</v>
      </c>
      <c r="E1" t="s">
        <v>1643</v>
      </c>
      <c r="F1" t="s">
        <v>1644</v>
      </c>
      <c r="G1" t="s">
        <v>1645</v>
      </c>
      <c r="H1" t="s">
        <v>1646</v>
      </c>
      <c r="I1" t="s">
        <v>1682</v>
      </c>
      <c r="J1" t="s">
        <v>1694</v>
      </c>
      <c r="K1" t="s">
        <v>651</v>
      </c>
      <c r="L1" t="s">
        <v>652</v>
      </c>
      <c r="M1" t="s">
        <v>659</v>
      </c>
      <c r="N1" t="s">
        <v>651</v>
      </c>
      <c r="O1" t="s">
        <v>652</v>
      </c>
      <c r="P1" t="s">
        <v>659</v>
      </c>
    </row>
    <row r="2" spans="1:16" x14ac:dyDescent="0.2">
      <c r="A2" t="s">
        <v>327</v>
      </c>
      <c r="B2" t="s">
        <v>328</v>
      </c>
      <c r="C2" t="s">
        <v>1157</v>
      </c>
      <c r="D2" t="s">
        <v>1157</v>
      </c>
      <c r="E2" t="s">
        <v>1647</v>
      </c>
      <c r="F2">
        <v>141</v>
      </c>
      <c r="G2">
        <v>140</v>
      </c>
      <c r="H2">
        <v>0.99290780141844004</v>
      </c>
    </row>
    <row r="3" spans="1:16" x14ac:dyDescent="0.2">
      <c r="A3" t="s">
        <v>331</v>
      </c>
      <c r="B3" t="s">
        <v>332</v>
      </c>
      <c r="C3" t="s">
        <v>1157</v>
      </c>
      <c r="D3" t="s">
        <v>1157</v>
      </c>
      <c r="E3" t="s">
        <v>1647</v>
      </c>
      <c r="F3">
        <v>145</v>
      </c>
      <c r="G3">
        <v>144</v>
      </c>
      <c r="H3">
        <v>0.99310344827586206</v>
      </c>
    </row>
    <row r="4" spans="1:16" x14ac:dyDescent="0.2">
      <c r="A4" t="s">
        <v>333</v>
      </c>
      <c r="B4" t="s">
        <v>334</v>
      </c>
      <c r="C4" t="s">
        <v>1157</v>
      </c>
      <c r="D4" t="s">
        <v>1157</v>
      </c>
      <c r="E4" t="s">
        <v>648</v>
      </c>
      <c r="F4">
        <v>119</v>
      </c>
      <c r="G4">
        <v>119</v>
      </c>
      <c r="H4">
        <v>1</v>
      </c>
    </row>
    <row r="5" spans="1:16" x14ac:dyDescent="0.2">
      <c r="A5" t="s">
        <v>336</v>
      </c>
      <c r="B5" t="s">
        <v>337</v>
      </c>
      <c r="C5" t="s">
        <v>1157</v>
      </c>
      <c r="D5" t="s">
        <v>1157</v>
      </c>
      <c r="E5" t="s">
        <v>648</v>
      </c>
      <c r="F5">
        <v>114</v>
      </c>
      <c r="G5">
        <v>114</v>
      </c>
      <c r="H5">
        <v>1</v>
      </c>
    </row>
    <row r="6" spans="1:16" x14ac:dyDescent="0.2">
      <c r="A6" t="s">
        <v>338</v>
      </c>
      <c r="B6" t="s">
        <v>339</v>
      </c>
      <c r="C6" t="s">
        <v>1157</v>
      </c>
      <c r="D6" t="s">
        <v>1157</v>
      </c>
      <c r="E6" t="s">
        <v>648</v>
      </c>
      <c r="F6">
        <v>143</v>
      </c>
      <c r="G6">
        <v>143</v>
      </c>
      <c r="H6">
        <v>1</v>
      </c>
    </row>
    <row r="7" spans="1:16" x14ac:dyDescent="0.2">
      <c r="A7" t="s">
        <v>347</v>
      </c>
      <c r="B7" t="s">
        <v>348</v>
      </c>
      <c r="C7" t="s">
        <v>1157</v>
      </c>
      <c r="D7" t="s">
        <v>1157</v>
      </c>
      <c r="E7" t="s">
        <v>648</v>
      </c>
      <c r="F7">
        <v>133</v>
      </c>
      <c r="G7">
        <v>133</v>
      </c>
      <c r="H7">
        <v>1</v>
      </c>
    </row>
    <row r="8" spans="1:16" x14ac:dyDescent="0.2">
      <c r="A8" t="s">
        <v>351</v>
      </c>
      <c r="B8" t="s">
        <v>352</v>
      </c>
      <c r="C8" t="s">
        <v>1157</v>
      </c>
      <c r="D8" t="s">
        <v>1157</v>
      </c>
      <c r="E8" t="s">
        <v>648</v>
      </c>
      <c r="F8">
        <v>146</v>
      </c>
      <c r="G8">
        <v>146</v>
      </c>
      <c r="H8">
        <v>1</v>
      </c>
    </row>
    <row r="9" spans="1:16" x14ac:dyDescent="0.2">
      <c r="A9" t="s">
        <v>357</v>
      </c>
      <c r="B9" t="s">
        <v>453</v>
      </c>
      <c r="C9" t="s">
        <v>1157</v>
      </c>
      <c r="D9" t="s">
        <v>1157</v>
      </c>
      <c r="E9" t="s">
        <v>648</v>
      </c>
      <c r="F9">
        <v>142</v>
      </c>
      <c r="G9">
        <v>142</v>
      </c>
      <c r="H9">
        <v>1</v>
      </c>
    </row>
    <row r="10" spans="1:16" x14ac:dyDescent="0.2">
      <c r="A10" t="s">
        <v>361</v>
      </c>
      <c r="B10" t="s">
        <v>362</v>
      </c>
      <c r="C10" t="s">
        <v>1157</v>
      </c>
      <c r="D10" t="s">
        <v>1157</v>
      </c>
      <c r="E10" t="s">
        <v>648</v>
      </c>
      <c r="F10">
        <v>110</v>
      </c>
      <c r="G10">
        <v>110</v>
      </c>
      <c r="H10">
        <v>1</v>
      </c>
    </row>
    <row r="11" spans="1:16" x14ac:dyDescent="0.2">
      <c r="A11" s="7" t="s">
        <v>366</v>
      </c>
      <c r="B11" s="7" t="s">
        <v>378</v>
      </c>
      <c r="C11" s="7" t="s">
        <v>1157</v>
      </c>
      <c r="D11" s="7" t="s">
        <v>1157</v>
      </c>
      <c r="E11" s="7" t="s">
        <v>648</v>
      </c>
      <c r="F11" s="7">
        <v>145</v>
      </c>
      <c r="G11" s="7">
        <v>145</v>
      </c>
      <c r="H11" s="7">
        <v>1</v>
      </c>
      <c r="I11" t="s">
        <v>1696</v>
      </c>
      <c r="J11" t="s">
        <v>1695</v>
      </c>
    </row>
    <row r="12" spans="1:16" x14ac:dyDescent="0.2">
      <c r="A12" s="7" t="s">
        <v>366</v>
      </c>
      <c r="B12" s="7" t="s">
        <v>377</v>
      </c>
      <c r="C12" s="7" t="s">
        <v>1157</v>
      </c>
      <c r="D12" s="7" t="s">
        <v>1157</v>
      </c>
      <c r="E12" s="7" t="s">
        <v>648</v>
      </c>
      <c r="F12" s="7">
        <v>145</v>
      </c>
      <c r="G12" s="7">
        <v>145</v>
      </c>
      <c r="H12" s="7">
        <v>1</v>
      </c>
      <c r="I12" t="s">
        <v>1696</v>
      </c>
      <c r="J12" t="s">
        <v>1695</v>
      </c>
    </row>
    <row r="13" spans="1:16" x14ac:dyDescent="0.2">
      <c r="A13" s="7" t="s">
        <v>367</v>
      </c>
      <c r="B13" s="7" t="s">
        <v>444</v>
      </c>
      <c r="C13" s="7" t="s">
        <v>1157</v>
      </c>
      <c r="D13" s="7" t="s">
        <v>1157</v>
      </c>
      <c r="E13" s="7" t="s">
        <v>1649</v>
      </c>
      <c r="F13" s="7">
        <v>125</v>
      </c>
      <c r="G13" s="7">
        <v>124</v>
      </c>
      <c r="H13" s="7">
        <v>0.99199999999999999</v>
      </c>
      <c r="I13" t="s">
        <v>1693</v>
      </c>
      <c r="K13">
        <v>2298</v>
      </c>
      <c r="L13">
        <v>12505</v>
      </c>
      <c r="M13">
        <v>9906</v>
      </c>
      <c r="N13" s="4">
        <v>23106</v>
      </c>
      <c r="O13" s="4">
        <v>61450</v>
      </c>
      <c r="P13" s="3" t="s">
        <v>717</v>
      </c>
    </row>
    <row r="14" spans="1:16" x14ac:dyDescent="0.2">
      <c r="A14" s="7" t="s">
        <v>370</v>
      </c>
      <c r="B14" s="7" t="s">
        <v>373</v>
      </c>
      <c r="C14" s="7" t="s">
        <v>1157</v>
      </c>
      <c r="D14" s="7" t="s">
        <v>1157</v>
      </c>
      <c r="E14" s="7" t="s">
        <v>648</v>
      </c>
      <c r="F14" s="7">
        <v>143</v>
      </c>
      <c r="G14" s="7">
        <v>143</v>
      </c>
      <c r="H14" s="7">
        <v>1</v>
      </c>
      <c r="I14" t="s">
        <v>1693</v>
      </c>
      <c r="K14" s="4">
        <v>2301</v>
      </c>
      <c r="L14" s="4">
        <v>12508</v>
      </c>
      <c r="M14" s="4">
        <v>5858</v>
      </c>
      <c r="N14">
        <v>2302</v>
      </c>
      <c r="O14">
        <v>12509</v>
      </c>
      <c r="P14">
        <v>5855</v>
      </c>
    </row>
    <row r="15" spans="1:16" x14ac:dyDescent="0.2">
      <c r="A15" s="7" t="s">
        <v>370</v>
      </c>
      <c r="B15" s="7" t="s">
        <v>372</v>
      </c>
      <c r="C15" s="7" t="s">
        <v>1157</v>
      </c>
      <c r="D15" s="7" t="s">
        <v>1157</v>
      </c>
      <c r="E15" s="7" t="s">
        <v>648</v>
      </c>
      <c r="F15" s="7">
        <v>141</v>
      </c>
      <c r="G15" s="7">
        <v>141</v>
      </c>
      <c r="H15" s="7">
        <v>1</v>
      </c>
      <c r="I15" t="s">
        <v>1693</v>
      </c>
      <c r="K15" s="4">
        <v>2301</v>
      </c>
      <c r="L15" s="4">
        <v>12508</v>
      </c>
      <c r="M15" s="4">
        <v>5858</v>
      </c>
      <c r="N15" s="10">
        <v>2302</v>
      </c>
      <c r="O15" s="10">
        <v>12509</v>
      </c>
      <c r="P15" s="10">
        <v>5855</v>
      </c>
    </row>
    <row r="16" spans="1:16" x14ac:dyDescent="0.2">
      <c r="A16" t="s">
        <v>372</v>
      </c>
      <c r="B16" t="s">
        <v>373</v>
      </c>
      <c r="C16" t="s">
        <v>1157</v>
      </c>
      <c r="D16" t="s">
        <v>1157</v>
      </c>
      <c r="E16" t="s">
        <v>648</v>
      </c>
      <c r="F16">
        <v>140</v>
      </c>
      <c r="G16">
        <v>140</v>
      </c>
      <c r="H16">
        <v>1</v>
      </c>
    </row>
    <row r="17" spans="1:16" x14ac:dyDescent="0.2">
      <c r="A17" t="s">
        <v>377</v>
      </c>
      <c r="B17" t="s">
        <v>378</v>
      </c>
      <c r="C17" t="s">
        <v>1157</v>
      </c>
      <c r="D17" t="s">
        <v>1157</v>
      </c>
      <c r="E17" t="s">
        <v>648</v>
      </c>
      <c r="F17">
        <v>145</v>
      </c>
      <c r="G17">
        <v>145</v>
      </c>
      <c r="H17">
        <v>1</v>
      </c>
    </row>
    <row r="18" spans="1:16" x14ac:dyDescent="0.2">
      <c r="A18" s="7" t="s">
        <v>380</v>
      </c>
      <c r="B18" s="7" t="s">
        <v>396</v>
      </c>
      <c r="C18" s="7" t="s">
        <v>1157</v>
      </c>
      <c r="D18" s="7" t="s">
        <v>1157</v>
      </c>
      <c r="E18" s="7" t="s">
        <v>648</v>
      </c>
      <c r="F18" s="7">
        <v>125</v>
      </c>
      <c r="G18" s="7">
        <v>125</v>
      </c>
      <c r="H18" s="7">
        <v>1</v>
      </c>
      <c r="I18" t="s">
        <v>1693</v>
      </c>
      <c r="K18" s="4">
        <v>2309</v>
      </c>
      <c r="L18" s="4">
        <v>12516</v>
      </c>
      <c r="M18" s="4">
        <v>5847</v>
      </c>
      <c r="N18">
        <v>2321</v>
      </c>
      <c r="O18">
        <v>12528</v>
      </c>
      <c r="P18">
        <v>5848</v>
      </c>
    </row>
    <row r="19" spans="1:16" x14ac:dyDescent="0.2">
      <c r="A19" t="s">
        <v>383</v>
      </c>
      <c r="B19" t="s">
        <v>384</v>
      </c>
      <c r="C19" t="s">
        <v>1157</v>
      </c>
      <c r="D19" t="s">
        <v>1157</v>
      </c>
      <c r="E19" t="s">
        <v>1648</v>
      </c>
      <c r="F19">
        <v>134</v>
      </c>
      <c r="G19">
        <v>133</v>
      </c>
      <c r="H19">
        <v>0.99253731343283602</v>
      </c>
    </row>
    <row r="20" spans="1:16" x14ac:dyDescent="0.2">
      <c r="A20" t="s">
        <v>385</v>
      </c>
      <c r="B20" t="s">
        <v>386</v>
      </c>
      <c r="C20" t="s">
        <v>1157</v>
      </c>
      <c r="D20" t="s">
        <v>1157</v>
      </c>
      <c r="E20" t="s">
        <v>648</v>
      </c>
      <c r="F20">
        <v>105</v>
      </c>
      <c r="G20">
        <v>105</v>
      </c>
      <c r="H20">
        <v>1</v>
      </c>
    </row>
    <row r="21" spans="1:16" x14ac:dyDescent="0.2">
      <c r="A21" t="s">
        <v>387</v>
      </c>
      <c r="B21" t="s">
        <v>388</v>
      </c>
      <c r="C21" t="s">
        <v>1157</v>
      </c>
      <c r="D21" t="s">
        <v>1157</v>
      </c>
      <c r="E21" t="s">
        <v>648</v>
      </c>
      <c r="F21">
        <v>145</v>
      </c>
      <c r="G21">
        <v>145</v>
      </c>
      <c r="H21">
        <v>1</v>
      </c>
    </row>
    <row r="22" spans="1:16" x14ac:dyDescent="0.2">
      <c r="A22" t="s">
        <v>394</v>
      </c>
      <c r="B22" t="s">
        <v>395</v>
      </c>
      <c r="C22" t="s">
        <v>1157</v>
      </c>
      <c r="D22" t="s">
        <v>1157</v>
      </c>
      <c r="E22" t="s">
        <v>648</v>
      </c>
      <c r="F22">
        <v>128</v>
      </c>
      <c r="G22">
        <v>128</v>
      </c>
      <c r="H22">
        <v>1</v>
      </c>
    </row>
    <row r="23" spans="1:16" x14ac:dyDescent="0.2">
      <c r="A23" t="s">
        <v>399</v>
      </c>
      <c r="B23" t="s">
        <v>400</v>
      </c>
      <c r="C23" t="s">
        <v>1259</v>
      </c>
      <c r="D23" t="s">
        <v>1259</v>
      </c>
      <c r="E23" t="s">
        <v>648</v>
      </c>
      <c r="F23">
        <v>143</v>
      </c>
      <c r="G23">
        <v>143</v>
      </c>
      <c r="H23">
        <v>1</v>
      </c>
    </row>
    <row r="24" spans="1:16" x14ac:dyDescent="0.2">
      <c r="A24" s="7" t="s">
        <v>405</v>
      </c>
      <c r="B24" s="7" t="s">
        <v>441</v>
      </c>
      <c r="C24" s="7" t="s">
        <v>1178</v>
      </c>
      <c r="D24" s="7" t="s">
        <v>1178</v>
      </c>
      <c r="E24" s="7" t="s">
        <v>648</v>
      </c>
      <c r="F24" s="7">
        <v>129</v>
      </c>
      <c r="G24" s="7">
        <v>129</v>
      </c>
      <c r="H24" s="7">
        <v>1</v>
      </c>
      <c r="I24" t="s">
        <v>1697</v>
      </c>
      <c r="J24" t="s">
        <v>1698</v>
      </c>
    </row>
    <row r="25" spans="1:16" x14ac:dyDescent="0.2">
      <c r="A25" t="s">
        <v>405</v>
      </c>
      <c r="B25" t="s">
        <v>406</v>
      </c>
      <c r="C25" t="s">
        <v>1178</v>
      </c>
      <c r="D25" t="s">
        <v>1178</v>
      </c>
      <c r="E25" t="s">
        <v>648</v>
      </c>
      <c r="F25">
        <v>140</v>
      </c>
      <c r="G25">
        <v>140</v>
      </c>
      <c r="H25">
        <v>1</v>
      </c>
    </row>
    <row r="26" spans="1:16" x14ac:dyDescent="0.2">
      <c r="A26" s="7" t="s">
        <v>406</v>
      </c>
      <c r="B26" s="7" t="s">
        <v>441</v>
      </c>
      <c r="C26" s="7" t="s">
        <v>1178</v>
      </c>
      <c r="D26" s="7" t="s">
        <v>1178</v>
      </c>
      <c r="E26" s="7" t="s">
        <v>648</v>
      </c>
      <c r="F26" s="7">
        <v>133</v>
      </c>
      <c r="G26" s="7">
        <v>133</v>
      </c>
      <c r="H26" s="7">
        <v>1</v>
      </c>
      <c r="I26" t="s">
        <v>1697</v>
      </c>
      <c r="J26" t="s">
        <v>1698</v>
      </c>
    </row>
    <row r="27" spans="1:16" x14ac:dyDescent="0.2">
      <c r="A27" t="s">
        <v>407</v>
      </c>
      <c r="B27" t="s">
        <v>408</v>
      </c>
      <c r="C27" t="s">
        <v>1178</v>
      </c>
      <c r="D27" t="s">
        <v>1178</v>
      </c>
      <c r="E27" t="s">
        <v>648</v>
      </c>
      <c r="F27">
        <v>123</v>
      </c>
      <c r="G27">
        <v>123</v>
      </c>
      <c r="H27">
        <v>1</v>
      </c>
    </row>
    <row r="28" spans="1:16" x14ac:dyDescent="0.2">
      <c r="A28" t="s">
        <v>409</v>
      </c>
      <c r="B28" t="s">
        <v>410</v>
      </c>
      <c r="C28" t="s">
        <v>1178</v>
      </c>
      <c r="D28" t="s">
        <v>1178</v>
      </c>
      <c r="E28" t="s">
        <v>648</v>
      </c>
      <c r="F28">
        <v>117</v>
      </c>
      <c r="G28">
        <v>117</v>
      </c>
      <c r="H28">
        <v>1</v>
      </c>
    </row>
    <row r="29" spans="1:16" x14ac:dyDescent="0.2">
      <c r="A29" s="7" t="s">
        <v>412</v>
      </c>
      <c r="B29" s="7" t="s">
        <v>442</v>
      </c>
      <c r="C29" s="7" t="s">
        <v>1178</v>
      </c>
      <c r="D29" s="7" t="s">
        <v>1178</v>
      </c>
      <c r="E29" s="7" t="s">
        <v>648</v>
      </c>
      <c r="F29" s="7">
        <v>136</v>
      </c>
      <c r="G29" s="7">
        <v>136</v>
      </c>
      <c r="H29" s="7">
        <v>1</v>
      </c>
      <c r="I29" t="s">
        <v>1697</v>
      </c>
      <c r="J29" t="s">
        <v>1698</v>
      </c>
    </row>
    <row r="30" spans="1:16" x14ac:dyDescent="0.2">
      <c r="A30" t="s">
        <v>412</v>
      </c>
      <c r="B30" t="s">
        <v>413</v>
      </c>
      <c r="C30" t="s">
        <v>1178</v>
      </c>
      <c r="D30" t="s">
        <v>1178</v>
      </c>
      <c r="E30" t="s">
        <v>648</v>
      </c>
      <c r="F30">
        <v>135</v>
      </c>
      <c r="G30">
        <v>135</v>
      </c>
      <c r="H30">
        <v>1</v>
      </c>
    </row>
    <row r="31" spans="1:16" x14ac:dyDescent="0.2">
      <c r="A31" s="7" t="s">
        <v>413</v>
      </c>
      <c r="B31" s="7" t="s">
        <v>442</v>
      </c>
      <c r="C31" s="7" t="s">
        <v>1178</v>
      </c>
      <c r="D31" s="7" t="s">
        <v>1178</v>
      </c>
      <c r="E31" s="7" t="s">
        <v>648</v>
      </c>
      <c r="F31" s="7">
        <v>143</v>
      </c>
      <c r="G31" s="7">
        <v>143</v>
      </c>
      <c r="H31" s="7">
        <v>1</v>
      </c>
      <c r="I31" t="s">
        <v>1697</v>
      </c>
      <c r="J31" t="s">
        <v>1698</v>
      </c>
    </row>
    <row r="32" spans="1:16" x14ac:dyDescent="0.2">
      <c r="A32" t="s">
        <v>415</v>
      </c>
      <c r="B32" t="s">
        <v>416</v>
      </c>
      <c r="C32" t="s">
        <v>1178</v>
      </c>
      <c r="D32" t="s">
        <v>1178</v>
      </c>
      <c r="E32" t="s">
        <v>648</v>
      </c>
      <c r="F32">
        <v>128</v>
      </c>
      <c r="G32">
        <v>128</v>
      </c>
      <c r="H32">
        <v>1</v>
      </c>
    </row>
    <row r="33" spans="1:16" x14ac:dyDescent="0.2">
      <c r="A33" t="s">
        <v>428</v>
      </c>
      <c r="B33" t="s">
        <v>429</v>
      </c>
      <c r="C33" t="s">
        <v>1308</v>
      </c>
      <c r="D33" t="s">
        <v>1308</v>
      </c>
      <c r="E33" t="s">
        <v>648</v>
      </c>
      <c r="F33">
        <v>128</v>
      </c>
      <c r="G33">
        <v>128</v>
      </c>
      <c r="H33">
        <v>1</v>
      </c>
    </row>
    <row r="34" spans="1:16" x14ac:dyDescent="0.2">
      <c r="A34" t="s">
        <v>445</v>
      </c>
      <c r="B34" t="s">
        <v>446</v>
      </c>
      <c r="C34" t="s">
        <v>1157</v>
      </c>
      <c r="D34" t="s">
        <v>1157</v>
      </c>
      <c r="E34" t="s">
        <v>1650</v>
      </c>
      <c r="F34">
        <v>115</v>
      </c>
      <c r="G34">
        <v>114</v>
      </c>
      <c r="H34">
        <v>0.99130434782608701</v>
      </c>
    </row>
    <row r="35" spans="1:16" x14ac:dyDescent="0.2">
      <c r="A35" t="s">
        <v>454</v>
      </c>
      <c r="B35" t="s">
        <v>455</v>
      </c>
      <c r="C35" t="s">
        <v>1157</v>
      </c>
      <c r="D35" t="s">
        <v>1157</v>
      </c>
      <c r="E35" t="s">
        <v>648</v>
      </c>
      <c r="F35">
        <v>139</v>
      </c>
      <c r="G35">
        <v>139</v>
      </c>
      <c r="H35">
        <v>1</v>
      </c>
    </row>
    <row r="36" spans="1:16" x14ac:dyDescent="0.2">
      <c r="A36" t="s">
        <v>457</v>
      </c>
      <c r="B36" t="s">
        <v>458</v>
      </c>
      <c r="C36" t="s">
        <v>1308</v>
      </c>
      <c r="D36" t="s">
        <v>1308</v>
      </c>
      <c r="E36" t="s">
        <v>648</v>
      </c>
      <c r="F36">
        <v>139</v>
      </c>
      <c r="G36">
        <v>139</v>
      </c>
      <c r="H36">
        <v>1</v>
      </c>
    </row>
    <row r="37" spans="1:16" x14ac:dyDescent="0.2">
      <c r="A37" t="s">
        <v>459</v>
      </c>
      <c r="B37" t="s">
        <v>460</v>
      </c>
      <c r="C37" t="s">
        <v>1308</v>
      </c>
      <c r="D37" t="s">
        <v>1308</v>
      </c>
      <c r="E37" t="s">
        <v>648</v>
      </c>
      <c r="F37">
        <v>132</v>
      </c>
      <c r="G37">
        <v>132</v>
      </c>
      <c r="H37">
        <v>1</v>
      </c>
    </row>
    <row r="38" spans="1:16" x14ac:dyDescent="0.2">
      <c r="A38" t="s">
        <v>461</v>
      </c>
      <c r="B38" t="s">
        <v>462</v>
      </c>
      <c r="C38" t="s">
        <v>1308</v>
      </c>
      <c r="D38" t="s">
        <v>1308</v>
      </c>
      <c r="E38" t="s">
        <v>648</v>
      </c>
      <c r="F38">
        <v>134</v>
      </c>
      <c r="G38">
        <v>134</v>
      </c>
      <c r="H38">
        <v>1</v>
      </c>
    </row>
    <row r="39" spans="1:16" x14ac:dyDescent="0.2">
      <c r="A39" t="s">
        <v>464</v>
      </c>
      <c r="B39" t="s">
        <v>465</v>
      </c>
      <c r="C39" t="s">
        <v>1308</v>
      </c>
      <c r="D39" t="s">
        <v>1308</v>
      </c>
      <c r="E39" t="s">
        <v>648</v>
      </c>
      <c r="F39">
        <v>130</v>
      </c>
      <c r="G39">
        <v>130</v>
      </c>
      <c r="H39">
        <v>1</v>
      </c>
    </row>
    <row r="40" spans="1:16" x14ac:dyDescent="0.2">
      <c r="A40" t="s">
        <v>466</v>
      </c>
      <c r="B40" t="s">
        <v>467</v>
      </c>
      <c r="C40" t="s">
        <v>1308</v>
      </c>
      <c r="D40" t="s">
        <v>1308</v>
      </c>
      <c r="E40" t="s">
        <v>648</v>
      </c>
      <c r="F40">
        <v>113</v>
      </c>
      <c r="G40">
        <v>113</v>
      </c>
      <c r="H40">
        <v>1</v>
      </c>
    </row>
    <row r="41" spans="1:16" x14ac:dyDescent="0.2">
      <c r="A41" t="s">
        <v>468</v>
      </c>
      <c r="B41" t="s">
        <v>469</v>
      </c>
      <c r="C41" t="s">
        <v>1308</v>
      </c>
      <c r="D41" t="s">
        <v>1308</v>
      </c>
      <c r="E41" t="s">
        <v>648</v>
      </c>
      <c r="F41">
        <v>119</v>
      </c>
      <c r="G41">
        <v>119</v>
      </c>
      <c r="H41">
        <v>1</v>
      </c>
    </row>
    <row r="42" spans="1:16" x14ac:dyDescent="0.2">
      <c r="A42" t="s">
        <v>473</v>
      </c>
      <c r="B42" t="s">
        <v>474</v>
      </c>
      <c r="C42" t="s">
        <v>1364</v>
      </c>
      <c r="D42" t="s">
        <v>1364</v>
      </c>
      <c r="E42" t="s">
        <v>648</v>
      </c>
      <c r="F42">
        <v>135</v>
      </c>
      <c r="G42">
        <v>135</v>
      </c>
      <c r="H42">
        <v>1</v>
      </c>
    </row>
    <row r="43" spans="1:16" x14ac:dyDescent="0.2">
      <c r="A43" t="s">
        <v>479</v>
      </c>
      <c r="B43" t="s">
        <v>480</v>
      </c>
      <c r="C43" t="s">
        <v>1364</v>
      </c>
      <c r="D43" t="s">
        <v>1364</v>
      </c>
      <c r="E43" t="s">
        <v>648</v>
      </c>
      <c r="F43">
        <v>128</v>
      </c>
      <c r="G43">
        <v>128</v>
      </c>
      <c r="H43">
        <v>1</v>
      </c>
    </row>
    <row r="44" spans="1:16" x14ac:dyDescent="0.2">
      <c r="A44" s="7" t="s">
        <v>490</v>
      </c>
      <c r="B44" s="7" t="s">
        <v>529</v>
      </c>
      <c r="C44" s="7" t="s">
        <v>1364</v>
      </c>
      <c r="D44" s="7" t="s">
        <v>1364</v>
      </c>
      <c r="E44" s="7" t="s">
        <v>648</v>
      </c>
      <c r="F44" s="7">
        <v>130</v>
      </c>
      <c r="G44" s="7">
        <v>130</v>
      </c>
      <c r="H44" s="7">
        <v>1</v>
      </c>
      <c r="I44" t="s">
        <v>1693</v>
      </c>
      <c r="K44" s="4">
        <v>23769</v>
      </c>
      <c r="L44" s="4">
        <v>62712</v>
      </c>
      <c r="M44" s="3" t="s">
        <v>778</v>
      </c>
      <c r="N44" s="4">
        <v>23824</v>
      </c>
      <c r="O44" s="4">
        <v>62767</v>
      </c>
      <c r="P44" s="3" t="s">
        <v>833</v>
      </c>
    </row>
    <row r="45" spans="1:16" x14ac:dyDescent="0.2">
      <c r="A45" t="s">
        <v>490</v>
      </c>
      <c r="B45" t="s">
        <v>491</v>
      </c>
      <c r="C45" t="s">
        <v>1364</v>
      </c>
      <c r="D45" t="s">
        <v>1364</v>
      </c>
      <c r="E45" t="s">
        <v>648</v>
      </c>
      <c r="F45">
        <v>129</v>
      </c>
      <c r="G45">
        <v>129</v>
      </c>
      <c r="H45">
        <v>1</v>
      </c>
    </row>
    <row r="46" spans="1:16" x14ac:dyDescent="0.2">
      <c r="A46" s="7" t="s">
        <v>491</v>
      </c>
      <c r="B46" s="7" t="s">
        <v>529</v>
      </c>
      <c r="C46" s="7" t="s">
        <v>1364</v>
      </c>
      <c r="D46" s="7" t="s">
        <v>1364</v>
      </c>
      <c r="E46" s="7" t="s">
        <v>648</v>
      </c>
      <c r="F46" s="7">
        <v>133</v>
      </c>
      <c r="G46" s="7">
        <v>133</v>
      </c>
      <c r="H46" s="7">
        <v>1</v>
      </c>
      <c r="I46" t="s">
        <v>1693</v>
      </c>
      <c r="K46" s="4">
        <v>23769</v>
      </c>
      <c r="L46" s="4">
        <v>62712</v>
      </c>
      <c r="M46" s="3" t="s">
        <v>778</v>
      </c>
      <c r="N46" s="4">
        <v>23824</v>
      </c>
      <c r="O46" s="4">
        <v>62767</v>
      </c>
      <c r="P46" s="3" t="s">
        <v>833</v>
      </c>
    </row>
    <row r="47" spans="1:16" x14ac:dyDescent="0.2">
      <c r="A47" t="s">
        <v>500</v>
      </c>
      <c r="B47" t="s">
        <v>501</v>
      </c>
      <c r="C47" t="s">
        <v>1364</v>
      </c>
      <c r="D47" t="s">
        <v>1364</v>
      </c>
      <c r="E47" t="s">
        <v>648</v>
      </c>
      <c r="F47">
        <v>141</v>
      </c>
      <c r="G47">
        <v>141</v>
      </c>
      <c r="H47">
        <v>1</v>
      </c>
    </row>
    <row r="48" spans="1:16" x14ac:dyDescent="0.2">
      <c r="A48" t="s">
        <v>511</v>
      </c>
      <c r="B48" t="s">
        <v>512</v>
      </c>
      <c r="C48" t="s">
        <v>1364</v>
      </c>
      <c r="D48" t="s">
        <v>1364</v>
      </c>
      <c r="E48" t="s">
        <v>648</v>
      </c>
      <c r="F48">
        <v>136</v>
      </c>
      <c r="G48">
        <v>136</v>
      </c>
      <c r="H48">
        <v>1</v>
      </c>
    </row>
    <row r="49" spans="1:8" x14ac:dyDescent="0.2">
      <c r="A49" t="s">
        <v>513</v>
      </c>
      <c r="B49" t="s">
        <v>514</v>
      </c>
      <c r="C49" t="s">
        <v>1364</v>
      </c>
      <c r="D49" t="s">
        <v>1364</v>
      </c>
      <c r="E49" t="s">
        <v>648</v>
      </c>
      <c r="F49">
        <v>144</v>
      </c>
      <c r="G49">
        <v>144</v>
      </c>
      <c r="H49">
        <v>1</v>
      </c>
    </row>
    <row r="50" spans="1:8" x14ac:dyDescent="0.2">
      <c r="A50" t="s">
        <v>516</v>
      </c>
      <c r="B50" t="s">
        <v>517</v>
      </c>
      <c r="C50" t="s">
        <v>1364</v>
      </c>
      <c r="D50" t="s">
        <v>1364</v>
      </c>
      <c r="E50" t="s">
        <v>648</v>
      </c>
      <c r="F50">
        <v>123</v>
      </c>
      <c r="G50">
        <v>123</v>
      </c>
      <c r="H50">
        <v>1</v>
      </c>
    </row>
    <row r="51" spans="1:8" x14ac:dyDescent="0.2">
      <c r="A51" t="s">
        <v>518</v>
      </c>
      <c r="B51" t="s">
        <v>519</v>
      </c>
      <c r="C51" t="s">
        <v>1364</v>
      </c>
      <c r="D51" t="s">
        <v>1364</v>
      </c>
      <c r="E51" t="s">
        <v>648</v>
      </c>
      <c r="F51">
        <v>146</v>
      </c>
      <c r="G51">
        <v>146</v>
      </c>
      <c r="H51">
        <v>1</v>
      </c>
    </row>
    <row r="52" spans="1:8" x14ac:dyDescent="0.2">
      <c r="A52" t="s">
        <v>521</v>
      </c>
      <c r="B52" t="s">
        <v>522</v>
      </c>
      <c r="C52" t="s">
        <v>1364</v>
      </c>
      <c r="D52" t="s">
        <v>1364</v>
      </c>
      <c r="E52" t="s">
        <v>648</v>
      </c>
      <c r="F52">
        <v>146</v>
      </c>
      <c r="G52">
        <v>146</v>
      </c>
      <c r="H52">
        <v>1</v>
      </c>
    </row>
    <row r="53" spans="1:8" x14ac:dyDescent="0.2">
      <c r="A53" t="s">
        <v>527</v>
      </c>
      <c r="B53" t="s">
        <v>528</v>
      </c>
      <c r="C53" t="s">
        <v>1364</v>
      </c>
      <c r="D53" t="s">
        <v>1364</v>
      </c>
      <c r="E53" t="s">
        <v>648</v>
      </c>
      <c r="F53">
        <v>143</v>
      </c>
      <c r="G53">
        <v>143</v>
      </c>
      <c r="H53">
        <v>1</v>
      </c>
    </row>
    <row r="54" spans="1:8" x14ac:dyDescent="0.2">
      <c r="A54" t="s">
        <v>538</v>
      </c>
      <c r="B54" t="s">
        <v>539</v>
      </c>
      <c r="C54" t="s">
        <v>1364</v>
      </c>
      <c r="D54" t="s">
        <v>1364</v>
      </c>
      <c r="E54" t="s">
        <v>648</v>
      </c>
      <c r="F54">
        <v>141</v>
      </c>
      <c r="G54">
        <v>141</v>
      </c>
      <c r="H54">
        <v>1</v>
      </c>
    </row>
    <row r="55" spans="1:8" x14ac:dyDescent="0.2">
      <c r="A55" t="s">
        <v>542</v>
      </c>
      <c r="B55" t="s">
        <v>543</v>
      </c>
      <c r="C55" t="s">
        <v>1364</v>
      </c>
      <c r="D55" t="s">
        <v>1364</v>
      </c>
      <c r="E55" t="s">
        <v>648</v>
      </c>
      <c r="F55">
        <v>133</v>
      </c>
      <c r="G55">
        <v>133</v>
      </c>
      <c r="H55">
        <v>1</v>
      </c>
    </row>
    <row r="56" spans="1:8" x14ac:dyDescent="0.2">
      <c r="A56" t="s">
        <v>544</v>
      </c>
      <c r="B56" t="s">
        <v>545</v>
      </c>
      <c r="C56" t="s">
        <v>1308</v>
      </c>
      <c r="D56" t="s">
        <v>1308</v>
      </c>
      <c r="E56" t="s">
        <v>648</v>
      </c>
      <c r="F56">
        <v>147</v>
      </c>
      <c r="G56">
        <v>147</v>
      </c>
      <c r="H56">
        <v>1</v>
      </c>
    </row>
    <row r="57" spans="1:8" x14ac:dyDescent="0.2">
      <c r="A57" t="s">
        <v>547</v>
      </c>
      <c r="B57" t="s">
        <v>548</v>
      </c>
      <c r="C57" t="s">
        <v>1308</v>
      </c>
      <c r="D57" t="s">
        <v>1308</v>
      </c>
      <c r="E57" t="s">
        <v>648</v>
      </c>
      <c r="F57">
        <v>146</v>
      </c>
      <c r="G57">
        <v>146</v>
      </c>
      <c r="H57">
        <v>1</v>
      </c>
    </row>
    <row r="58" spans="1:8" x14ac:dyDescent="0.2">
      <c r="A58" t="s">
        <v>549</v>
      </c>
      <c r="B58" t="s">
        <v>550</v>
      </c>
      <c r="C58" t="s">
        <v>1308</v>
      </c>
      <c r="D58" t="s">
        <v>1308</v>
      </c>
      <c r="E58" t="s">
        <v>648</v>
      </c>
      <c r="F58">
        <v>147</v>
      </c>
      <c r="G58">
        <v>147</v>
      </c>
      <c r="H58">
        <v>1</v>
      </c>
    </row>
    <row r="59" spans="1:8" x14ac:dyDescent="0.2">
      <c r="A59" t="s">
        <v>561</v>
      </c>
      <c r="B59" t="s">
        <v>562</v>
      </c>
      <c r="C59" t="s">
        <v>1308</v>
      </c>
      <c r="D59" t="s">
        <v>1308</v>
      </c>
      <c r="E59" t="s">
        <v>648</v>
      </c>
      <c r="F59">
        <v>133</v>
      </c>
      <c r="G59">
        <v>133</v>
      </c>
      <c r="H59">
        <v>1</v>
      </c>
    </row>
    <row r="60" spans="1:8" x14ac:dyDescent="0.2">
      <c r="A60" t="s">
        <v>563</v>
      </c>
      <c r="B60" t="s">
        <v>564</v>
      </c>
      <c r="C60" t="s">
        <v>1308</v>
      </c>
      <c r="D60" t="s">
        <v>1308</v>
      </c>
      <c r="E60" t="s">
        <v>648</v>
      </c>
      <c r="F60">
        <v>143</v>
      </c>
      <c r="G60">
        <v>143</v>
      </c>
      <c r="H60">
        <v>1</v>
      </c>
    </row>
    <row r="61" spans="1:8" x14ac:dyDescent="0.2">
      <c r="A61" t="s">
        <v>568</v>
      </c>
      <c r="B61" t="s">
        <v>569</v>
      </c>
      <c r="C61" t="s">
        <v>1418</v>
      </c>
      <c r="D61" t="s">
        <v>1418</v>
      </c>
      <c r="E61" t="s">
        <v>1650</v>
      </c>
      <c r="F61">
        <v>99</v>
      </c>
      <c r="G61">
        <v>98</v>
      </c>
      <c r="H61">
        <v>0.98989898989898994</v>
      </c>
    </row>
    <row r="62" spans="1:8" x14ac:dyDescent="0.2">
      <c r="A62" t="s">
        <v>572</v>
      </c>
      <c r="B62" t="s">
        <v>573</v>
      </c>
      <c r="C62" t="s">
        <v>1418</v>
      </c>
      <c r="D62" t="s">
        <v>1418</v>
      </c>
      <c r="E62" t="s">
        <v>1651</v>
      </c>
      <c r="F62">
        <v>84</v>
      </c>
      <c r="G62">
        <v>83</v>
      </c>
      <c r="H62">
        <v>0.98809523809523803</v>
      </c>
    </row>
    <row r="63" spans="1:8" x14ac:dyDescent="0.2">
      <c r="A63" t="s">
        <v>579</v>
      </c>
      <c r="B63" t="s">
        <v>580</v>
      </c>
      <c r="C63" t="s">
        <v>1308</v>
      </c>
      <c r="D63" t="s">
        <v>1308</v>
      </c>
      <c r="E63" t="s">
        <v>648</v>
      </c>
      <c r="F63">
        <v>143</v>
      </c>
      <c r="G63">
        <v>143</v>
      </c>
      <c r="H63">
        <v>1</v>
      </c>
    </row>
    <row r="64" spans="1:8" x14ac:dyDescent="0.2">
      <c r="A64" t="s">
        <v>581</v>
      </c>
      <c r="B64" t="s">
        <v>582</v>
      </c>
      <c r="C64" t="s">
        <v>1308</v>
      </c>
      <c r="D64" t="s">
        <v>1308</v>
      </c>
      <c r="E64" t="s">
        <v>648</v>
      </c>
      <c r="F64">
        <v>141</v>
      </c>
      <c r="G64">
        <v>141</v>
      </c>
      <c r="H64">
        <v>1</v>
      </c>
    </row>
    <row r="65" spans="1:8" x14ac:dyDescent="0.2">
      <c r="A65" t="s">
        <v>586</v>
      </c>
      <c r="B65" t="s">
        <v>587</v>
      </c>
      <c r="C65" t="s">
        <v>1308</v>
      </c>
      <c r="D65" t="s">
        <v>1308</v>
      </c>
      <c r="E65" t="s">
        <v>1647</v>
      </c>
      <c r="F65">
        <v>127</v>
      </c>
      <c r="G65">
        <v>126</v>
      </c>
      <c r="H65">
        <v>0.99212598425196896</v>
      </c>
    </row>
    <row r="66" spans="1:8" x14ac:dyDescent="0.2">
      <c r="A66" t="s">
        <v>589</v>
      </c>
      <c r="B66" t="s">
        <v>590</v>
      </c>
      <c r="C66" t="s">
        <v>1308</v>
      </c>
      <c r="D66" t="s">
        <v>1308</v>
      </c>
      <c r="E66" t="s">
        <v>648</v>
      </c>
      <c r="F66">
        <v>114</v>
      </c>
      <c r="G66">
        <v>114</v>
      </c>
      <c r="H66">
        <v>1</v>
      </c>
    </row>
    <row r="67" spans="1:8" x14ac:dyDescent="0.2">
      <c r="A67" t="s">
        <v>593</v>
      </c>
      <c r="B67" t="s">
        <v>594</v>
      </c>
      <c r="C67" t="s">
        <v>1308</v>
      </c>
      <c r="D67" t="s">
        <v>1308</v>
      </c>
      <c r="E67" t="s">
        <v>648</v>
      </c>
      <c r="F67">
        <v>146</v>
      </c>
      <c r="G67">
        <v>146</v>
      </c>
      <c r="H67">
        <v>1</v>
      </c>
    </row>
    <row r="68" spans="1:8" x14ac:dyDescent="0.2">
      <c r="A68" t="s">
        <v>595</v>
      </c>
      <c r="B68" t="s">
        <v>596</v>
      </c>
      <c r="C68" t="s">
        <v>1308</v>
      </c>
      <c r="D68" t="s">
        <v>1308</v>
      </c>
      <c r="E68" t="s">
        <v>648</v>
      </c>
      <c r="F68">
        <v>141</v>
      </c>
      <c r="G68">
        <v>141</v>
      </c>
      <c r="H68">
        <v>1</v>
      </c>
    </row>
  </sheetData>
  <autoFilter ref="A1:P1" xr:uid="{0F5BC54E-F652-6647-863C-86CC705E3B43}">
    <sortState xmlns:xlrd2="http://schemas.microsoft.com/office/spreadsheetml/2017/richdata2" ref="A2:P68">
      <sortCondition ref="A1:A6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E8F5-7BA7-F64E-B900-084A0A366B05}">
  <dimension ref="A1:J5"/>
  <sheetViews>
    <sheetView workbookViewId="0">
      <selection activeCell="A4" sqref="A4:B4"/>
    </sheetView>
  </sheetViews>
  <sheetFormatPr baseColWidth="10" defaultRowHeight="16" x14ac:dyDescent="0.2"/>
  <sheetData>
    <row r="1" spans="1:10" x14ac:dyDescent="0.2">
      <c r="A1" t="s">
        <v>1639</v>
      </c>
      <c r="B1" t="s">
        <v>1640</v>
      </c>
      <c r="C1" t="s">
        <v>1641</v>
      </c>
      <c r="D1" t="s">
        <v>1642</v>
      </c>
      <c r="E1" t="s">
        <v>1643</v>
      </c>
      <c r="F1" t="s">
        <v>1644</v>
      </c>
      <c r="G1" t="s">
        <v>1645</v>
      </c>
      <c r="H1" t="s">
        <v>1646</v>
      </c>
      <c r="I1" t="s">
        <v>1682</v>
      </c>
      <c r="J1" t="s">
        <v>1694</v>
      </c>
    </row>
    <row r="2" spans="1:10" x14ac:dyDescent="0.2">
      <c r="A2" t="s">
        <v>366</v>
      </c>
      <c r="B2" t="s">
        <v>377</v>
      </c>
      <c r="C2" t="s">
        <v>1157</v>
      </c>
      <c r="D2" t="s">
        <v>1157</v>
      </c>
      <c r="E2" t="s">
        <v>648</v>
      </c>
      <c r="F2">
        <v>152</v>
      </c>
      <c r="G2">
        <v>152</v>
      </c>
      <c r="H2">
        <v>1</v>
      </c>
      <c r="I2" t="s">
        <v>1696</v>
      </c>
      <c r="J2" t="s">
        <v>1695</v>
      </c>
    </row>
    <row r="3" spans="1:10" x14ac:dyDescent="0.2">
      <c r="A3" t="s">
        <v>412</v>
      </c>
      <c r="B3" t="s">
        <v>442</v>
      </c>
      <c r="C3" t="s">
        <v>1178</v>
      </c>
      <c r="D3" t="s">
        <v>1178</v>
      </c>
      <c r="E3" t="s">
        <v>648</v>
      </c>
      <c r="F3">
        <v>151</v>
      </c>
      <c r="G3">
        <v>151</v>
      </c>
      <c r="H3">
        <v>1</v>
      </c>
      <c r="I3" t="s">
        <v>1697</v>
      </c>
      <c r="J3" t="s">
        <v>1698</v>
      </c>
    </row>
    <row r="4" spans="1:10" x14ac:dyDescent="0.2">
      <c r="A4" t="s">
        <v>356</v>
      </c>
      <c r="B4" t="s">
        <v>453</v>
      </c>
      <c r="C4" t="s">
        <v>1157</v>
      </c>
      <c r="D4" t="s">
        <v>1157</v>
      </c>
      <c r="E4" t="s">
        <v>648</v>
      </c>
      <c r="F4">
        <v>142</v>
      </c>
      <c r="G4">
        <v>142</v>
      </c>
      <c r="H4">
        <v>1</v>
      </c>
    </row>
    <row r="5" spans="1:10" x14ac:dyDescent="0.2">
      <c r="A5" t="s">
        <v>405</v>
      </c>
      <c r="B5" t="s">
        <v>441</v>
      </c>
      <c r="C5" t="s">
        <v>1178</v>
      </c>
      <c r="D5" t="s">
        <v>1178</v>
      </c>
      <c r="E5" t="s">
        <v>648</v>
      </c>
      <c r="F5">
        <v>133</v>
      </c>
      <c r="G5">
        <v>133</v>
      </c>
      <c r="H5">
        <v>1</v>
      </c>
      <c r="I5" t="s">
        <v>1697</v>
      </c>
      <c r="J5" t="s">
        <v>1698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E99B-773C-2A43-9410-4424BEDC7093}">
  <dimension ref="A1:N7"/>
  <sheetViews>
    <sheetView workbookViewId="0">
      <selection sqref="A1:N7"/>
    </sheetView>
  </sheetViews>
  <sheetFormatPr baseColWidth="10" defaultRowHeight="16" x14ac:dyDescent="0.2"/>
  <cols>
    <col min="2" max="2" width="17" bestFit="1" customWidth="1"/>
    <col min="5" max="5" width="19.1640625" bestFit="1" customWidth="1"/>
    <col min="10" max="10" width="17" bestFit="1" customWidth="1"/>
  </cols>
  <sheetData>
    <row r="1" spans="1:14" x14ac:dyDescent="0.2">
      <c r="A1" t="s">
        <v>1639</v>
      </c>
      <c r="B1" t="s">
        <v>1641</v>
      </c>
      <c r="C1" t="s">
        <v>651</v>
      </c>
      <c r="D1" t="s">
        <v>652</v>
      </c>
      <c r="E1" t="s">
        <v>659</v>
      </c>
      <c r="F1" t="s">
        <v>1699</v>
      </c>
      <c r="I1" t="s">
        <v>1640</v>
      </c>
      <c r="J1" t="s">
        <v>1642</v>
      </c>
      <c r="K1" t="s">
        <v>651</v>
      </c>
      <c r="L1" t="s">
        <v>652</v>
      </c>
      <c r="M1" t="s">
        <v>659</v>
      </c>
      <c r="N1" t="s">
        <v>1699</v>
      </c>
    </row>
    <row r="2" spans="1:14" x14ac:dyDescent="0.2">
      <c r="A2" s="7" t="s">
        <v>367</v>
      </c>
      <c r="B2" s="7" t="s">
        <v>1157</v>
      </c>
      <c r="C2">
        <v>2298</v>
      </c>
      <c r="D2">
        <v>12505</v>
      </c>
      <c r="E2">
        <v>9906</v>
      </c>
      <c r="F2" s="1">
        <v>35019</v>
      </c>
      <c r="I2" s="7" t="s">
        <v>444</v>
      </c>
      <c r="J2" s="7" t="s">
        <v>1157</v>
      </c>
      <c r="K2" s="4">
        <v>23106</v>
      </c>
      <c r="L2" s="4">
        <v>61450</v>
      </c>
      <c r="M2" s="3" t="s">
        <v>717</v>
      </c>
      <c r="N2" s="5">
        <v>39063</v>
      </c>
    </row>
    <row r="3" spans="1:14" x14ac:dyDescent="0.2">
      <c r="A3" s="7" t="s">
        <v>370</v>
      </c>
      <c r="B3" s="7" t="s">
        <v>1157</v>
      </c>
      <c r="C3" s="4">
        <v>2301</v>
      </c>
      <c r="D3" s="4">
        <v>12508</v>
      </c>
      <c r="E3" s="4">
        <v>5858</v>
      </c>
      <c r="F3" s="5">
        <v>35015</v>
      </c>
      <c r="G3" s="4"/>
      <c r="H3" s="4"/>
      <c r="I3" s="7" t="s">
        <v>373</v>
      </c>
      <c r="J3" s="7" t="s">
        <v>1157</v>
      </c>
      <c r="K3">
        <v>2302</v>
      </c>
      <c r="L3">
        <v>12509</v>
      </c>
      <c r="M3">
        <v>5855</v>
      </c>
      <c r="N3" s="1">
        <v>35028</v>
      </c>
    </row>
    <row r="4" spans="1:14" x14ac:dyDescent="0.2">
      <c r="A4" s="7" t="s">
        <v>370</v>
      </c>
      <c r="B4" s="7" t="s">
        <v>1157</v>
      </c>
      <c r="C4" s="4">
        <v>2301</v>
      </c>
      <c r="D4" s="4">
        <v>12508</v>
      </c>
      <c r="E4" s="4">
        <v>5858</v>
      </c>
      <c r="F4" s="5">
        <v>35015</v>
      </c>
      <c r="G4" s="4"/>
      <c r="H4" s="4"/>
      <c r="I4" s="7" t="s">
        <v>372</v>
      </c>
      <c r="J4" s="7" t="s">
        <v>1157</v>
      </c>
      <c r="K4" s="10">
        <v>2302</v>
      </c>
      <c r="L4" s="10">
        <v>12509</v>
      </c>
      <c r="M4" s="10">
        <v>5855</v>
      </c>
      <c r="N4" s="1">
        <v>35028</v>
      </c>
    </row>
    <row r="5" spans="1:14" x14ac:dyDescent="0.2">
      <c r="A5" s="7" t="s">
        <v>490</v>
      </c>
      <c r="B5" s="7" t="s">
        <v>1364</v>
      </c>
      <c r="C5" s="4">
        <v>23769</v>
      </c>
      <c r="D5" s="4">
        <v>62712</v>
      </c>
      <c r="E5" s="3" t="s">
        <v>778</v>
      </c>
      <c r="F5" s="5">
        <v>38735</v>
      </c>
      <c r="G5" s="3"/>
      <c r="H5" s="3"/>
      <c r="I5" s="7" t="s">
        <v>529</v>
      </c>
      <c r="J5" s="7" t="s">
        <v>1364</v>
      </c>
      <c r="K5" s="4">
        <v>23824</v>
      </c>
      <c r="L5" s="4">
        <v>62767</v>
      </c>
      <c r="M5" s="3" t="s">
        <v>833</v>
      </c>
      <c r="N5" s="5">
        <v>38736</v>
      </c>
    </row>
    <row r="6" spans="1:14" x14ac:dyDescent="0.2">
      <c r="A6" s="7" t="s">
        <v>491</v>
      </c>
      <c r="B6" s="7" t="s">
        <v>1364</v>
      </c>
      <c r="C6" s="4">
        <v>23769</v>
      </c>
      <c r="D6" s="4">
        <v>62712</v>
      </c>
      <c r="E6" s="3" t="s">
        <v>778</v>
      </c>
      <c r="F6" s="5">
        <v>38735</v>
      </c>
      <c r="G6" s="3"/>
      <c r="H6" s="3"/>
      <c r="I6" s="7" t="s">
        <v>529</v>
      </c>
      <c r="J6" s="7" t="s">
        <v>1364</v>
      </c>
      <c r="K6" s="4">
        <v>23824</v>
      </c>
      <c r="L6" s="4">
        <v>62767</v>
      </c>
      <c r="M6" s="3" t="s">
        <v>833</v>
      </c>
      <c r="N6" s="5">
        <v>38736</v>
      </c>
    </row>
    <row r="7" spans="1:14" x14ac:dyDescent="0.2">
      <c r="A7" s="7" t="s">
        <v>380</v>
      </c>
      <c r="B7" s="7" t="s">
        <v>1157</v>
      </c>
      <c r="C7" s="4">
        <v>2309</v>
      </c>
      <c r="D7" s="4">
        <v>12516</v>
      </c>
      <c r="E7" s="4">
        <v>5847</v>
      </c>
      <c r="F7" s="5">
        <v>36147</v>
      </c>
      <c r="G7" s="4"/>
      <c r="H7" s="4"/>
      <c r="I7" s="7" t="s">
        <v>396</v>
      </c>
      <c r="J7" s="7" t="s">
        <v>1157</v>
      </c>
      <c r="K7">
        <v>2321</v>
      </c>
      <c r="L7">
        <v>12528</v>
      </c>
      <c r="M7">
        <v>5848</v>
      </c>
      <c r="N7" s="1">
        <v>36147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F469-8034-8E47-8BFF-C0FFA68114FD}">
  <dimension ref="A1:O26"/>
  <sheetViews>
    <sheetView workbookViewId="0">
      <selection activeCell="N26" sqref="N26:O26"/>
    </sheetView>
  </sheetViews>
  <sheetFormatPr baseColWidth="10" defaultRowHeight="16" x14ac:dyDescent="0.2"/>
  <cols>
    <col min="5" max="8" width="0" hidden="1" customWidth="1"/>
    <col min="14" max="14" width="14.83203125" customWidth="1"/>
  </cols>
  <sheetData>
    <row r="1" spans="1:15" x14ac:dyDescent="0.2">
      <c r="B1" t="s">
        <v>1652</v>
      </c>
      <c r="C1" t="s">
        <v>1653</v>
      </c>
      <c r="D1" t="s">
        <v>1654</v>
      </c>
      <c r="E1" t="s">
        <v>1655</v>
      </c>
      <c r="F1" t="s">
        <v>1656</v>
      </c>
      <c r="G1" t="s">
        <v>1657</v>
      </c>
      <c r="H1" t="s">
        <v>1658</v>
      </c>
      <c r="I1" t="s">
        <v>1659</v>
      </c>
      <c r="J1" t="s">
        <v>1660</v>
      </c>
      <c r="K1" t="s">
        <v>1661</v>
      </c>
      <c r="L1" t="s">
        <v>1662</v>
      </c>
      <c r="M1" t="s">
        <v>1663</v>
      </c>
      <c r="N1" t="s">
        <v>1682</v>
      </c>
      <c r="O1" t="s">
        <v>1681</v>
      </c>
    </row>
    <row r="2" spans="1:15" x14ac:dyDescent="0.2">
      <c r="A2">
        <v>9</v>
      </c>
      <c r="B2" t="s">
        <v>1649</v>
      </c>
      <c r="C2" t="s">
        <v>368</v>
      </c>
      <c r="D2" t="s">
        <v>1666</v>
      </c>
      <c r="E2" t="s">
        <v>1665</v>
      </c>
      <c r="F2" t="s">
        <v>1667</v>
      </c>
      <c r="G2" t="s">
        <v>928</v>
      </c>
      <c r="H2" t="s">
        <v>648</v>
      </c>
      <c r="I2">
        <v>16</v>
      </c>
      <c r="J2">
        <v>12</v>
      </c>
      <c r="K2">
        <v>10</v>
      </c>
      <c r="L2">
        <v>0</v>
      </c>
      <c r="M2">
        <v>3</v>
      </c>
      <c r="N2" t="s">
        <v>1684</v>
      </c>
      <c r="O2" t="s">
        <v>1666</v>
      </c>
    </row>
    <row r="3" spans="1:15" x14ac:dyDescent="0.2">
      <c r="A3">
        <v>5</v>
      </c>
      <c r="B3" t="s">
        <v>1649</v>
      </c>
      <c r="C3" t="s">
        <v>369</v>
      </c>
      <c r="D3" t="s">
        <v>1664</v>
      </c>
      <c r="E3" t="s">
        <v>1665</v>
      </c>
      <c r="F3" t="s">
        <v>928</v>
      </c>
      <c r="G3" t="s">
        <v>648</v>
      </c>
      <c r="H3" t="s">
        <v>648</v>
      </c>
      <c r="I3">
        <v>20</v>
      </c>
      <c r="J3">
        <v>11</v>
      </c>
      <c r="K3">
        <v>0</v>
      </c>
      <c r="L3">
        <v>0</v>
      </c>
      <c r="M3">
        <v>2</v>
      </c>
      <c r="N3" t="s">
        <v>1686</v>
      </c>
      <c r="O3" t="s">
        <v>1685</v>
      </c>
    </row>
    <row r="4" spans="1:15" x14ac:dyDescent="0.2">
      <c r="A4">
        <v>7</v>
      </c>
      <c r="B4" t="s">
        <v>1649</v>
      </c>
      <c r="C4" t="s">
        <v>370</v>
      </c>
      <c r="D4" t="s">
        <v>1666</v>
      </c>
      <c r="E4" t="s">
        <v>1665</v>
      </c>
      <c r="F4" t="s">
        <v>1667</v>
      </c>
      <c r="G4" t="s">
        <v>928</v>
      </c>
      <c r="H4" t="s">
        <v>648</v>
      </c>
      <c r="I4">
        <v>18</v>
      </c>
      <c r="J4">
        <v>16</v>
      </c>
      <c r="K4">
        <v>14</v>
      </c>
      <c r="L4">
        <v>0</v>
      </c>
      <c r="M4">
        <v>3</v>
      </c>
      <c r="N4" t="s">
        <v>1684</v>
      </c>
      <c r="O4" t="s">
        <v>1666</v>
      </c>
    </row>
    <row r="5" spans="1:15" x14ac:dyDescent="0.2">
      <c r="A5">
        <v>1</v>
      </c>
      <c r="B5" t="s">
        <v>1649</v>
      </c>
      <c r="C5" t="s">
        <v>444</v>
      </c>
      <c r="D5" t="s">
        <v>1664</v>
      </c>
      <c r="E5" t="s">
        <v>1665</v>
      </c>
      <c r="F5" t="s">
        <v>928</v>
      </c>
      <c r="G5" t="s">
        <v>648</v>
      </c>
      <c r="H5" t="s">
        <v>648</v>
      </c>
      <c r="I5">
        <v>34</v>
      </c>
      <c r="J5">
        <v>15</v>
      </c>
      <c r="K5">
        <v>0</v>
      </c>
      <c r="L5">
        <v>0</v>
      </c>
      <c r="M5">
        <v>2</v>
      </c>
      <c r="N5" t="s">
        <v>1686</v>
      </c>
      <c r="O5" t="s">
        <v>1685</v>
      </c>
    </row>
    <row r="6" spans="1:15" x14ac:dyDescent="0.2">
      <c r="A6">
        <v>6</v>
      </c>
      <c r="B6" t="s">
        <v>1649</v>
      </c>
      <c r="C6" t="s">
        <v>447</v>
      </c>
      <c r="D6" t="s">
        <v>1668</v>
      </c>
      <c r="E6" t="s">
        <v>1667</v>
      </c>
      <c r="F6" t="s">
        <v>928</v>
      </c>
      <c r="G6" t="s">
        <v>648</v>
      </c>
      <c r="H6" t="s">
        <v>648</v>
      </c>
      <c r="I6">
        <v>18</v>
      </c>
      <c r="J6">
        <v>14</v>
      </c>
      <c r="K6">
        <v>0</v>
      </c>
      <c r="L6">
        <v>0</v>
      </c>
      <c r="M6">
        <v>2</v>
      </c>
      <c r="N6" t="s">
        <v>1683</v>
      </c>
      <c r="O6" t="s">
        <v>648</v>
      </c>
    </row>
    <row r="7" spans="1:15" x14ac:dyDescent="0.2">
      <c r="A7">
        <v>2</v>
      </c>
      <c r="B7" t="s">
        <v>1649</v>
      </c>
      <c r="C7" t="s">
        <v>448</v>
      </c>
      <c r="D7" t="s">
        <v>1664</v>
      </c>
      <c r="E7" t="s">
        <v>1665</v>
      </c>
      <c r="F7" t="s">
        <v>928</v>
      </c>
      <c r="G7" t="s">
        <v>648</v>
      </c>
      <c r="H7" t="s">
        <v>648</v>
      </c>
      <c r="I7">
        <v>31</v>
      </c>
      <c r="J7">
        <v>14</v>
      </c>
      <c r="K7">
        <v>0</v>
      </c>
      <c r="L7">
        <v>0</v>
      </c>
      <c r="M7">
        <v>2</v>
      </c>
      <c r="N7" t="s">
        <v>1686</v>
      </c>
      <c r="O7" t="s">
        <v>1685</v>
      </c>
    </row>
    <row r="8" spans="1:15" x14ac:dyDescent="0.2">
      <c r="A8">
        <v>3</v>
      </c>
      <c r="B8" t="s">
        <v>1649</v>
      </c>
      <c r="C8" t="s">
        <v>451</v>
      </c>
      <c r="D8" t="s">
        <v>1666</v>
      </c>
      <c r="E8" t="s">
        <v>1667</v>
      </c>
      <c r="F8" t="s">
        <v>1665</v>
      </c>
      <c r="G8" t="s">
        <v>928</v>
      </c>
      <c r="H8" t="s">
        <v>648</v>
      </c>
      <c r="I8">
        <v>26</v>
      </c>
      <c r="J8">
        <v>14</v>
      </c>
      <c r="K8">
        <v>14</v>
      </c>
      <c r="L8">
        <v>0</v>
      </c>
      <c r="M8">
        <v>3</v>
      </c>
      <c r="N8" t="s">
        <v>1684</v>
      </c>
      <c r="O8" t="s">
        <v>1666</v>
      </c>
    </row>
    <row r="9" spans="1:15" x14ac:dyDescent="0.2">
      <c r="A9">
        <v>20</v>
      </c>
      <c r="B9" t="s">
        <v>1649</v>
      </c>
      <c r="C9" t="s">
        <v>452</v>
      </c>
      <c r="D9" t="s">
        <v>1666</v>
      </c>
      <c r="E9" t="s">
        <v>1665</v>
      </c>
      <c r="F9" t="s">
        <v>1667</v>
      </c>
      <c r="G9" t="s">
        <v>928</v>
      </c>
      <c r="H9" t="s">
        <v>648</v>
      </c>
      <c r="I9">
        <v>12</v>
      </c>
      <c r="J9">
        <v>10</v>
      </c>
      <c r="K9">
        <v>9</v>
      </c>
      <c r="L9">
        <v>0</v>
      </c>
      <c r="M9">
        <v>3</v>
      </c>
      <c r="N9" t="s">
        <v>1684</v>
      </c>
      <c r="O9" t="s">
        <v>1666</v>
      </c>
    </row>
    <row r="10" spans="1:15" x14ac:dyDescent="0.2">
      <c r="A10">
        <v>25</v>
      </c>
      <c r="B10" t="s">
        <v>1649</v>
      </c>
      <c r="C10" t="s">
        <v>485</v>
      </c>
      <c r="D10" t="s">
        <v>1664</v>
      </c>
      <c r="E10" t="s">
        <v>928</v>
      </c>
      <c r="F10" t="s">
        <v>1665</v>
      </c>
      <c r="G10" t="s">
        <v>648</v>
      </c>
      <c r="H10" t="s">
        <v>648</v>
      </c>
      <c r="I10">
        <v>10</v>
      </c>
      <c r="J10">
        <v>10</v>
      </c>
      <c r="K10">
        <v>0</v>
      </c>
      <c r="L10">
        <v>0</v>
      </c>
      <c r="M10">
        <v>2</v>
      </c>
      <c r="N10" t="s">
        <v>1683</v>
      </c>
      <c r="O10" t="s">
        <v>648</v>
      </c>
    </row>
    <row r="11" spans="1:15" x14ac:dyDescent="0.2">
      <c r="A11">
        <v>19</v>
      </c>
      <c r="B11" t="s">
        <v>1649</v>
      </c>
      <c r="C11" t="s">
        <v>487</v>
      </c>
      <c r="D11" t="s">
        <v>1666</v>
      </c>
      <c r="E11" t="s">
        <v>1667</v>
      </c>
      <c r="F11" t="s">
        <v>1665</v>
      </c>
      <c r="G11" t="s">
        <v>928</v>
      </c>
      <c r="H11" t="s">
        <v>648</v>
      </c>
      <c r="I11">
        <v>12</v>
      </c>
      <c r="J11">
        <v>11</v>
      </c>
      <c r="K11">
        <v>6</v>
      </c>
      <c r="L11">
        <v>0</v>
      </c>
      <c r="M11">
        <v>3</v>
      </c>
      <c r="N11" t="s">
        <v>1684</v>
      </c>
      <c r="O11" t="s">
        <v>1666</v>
      </c>
    </row>
    <row r="12" spans="1:15" x14ac:dyDescent="0.2">
      <c r="A12">
        <v>17</v>
      </c>
      <c r="B12" t="s">
        <v>1649</v>
      </c>
      <c r="C12" t="s">
        <v>493</v>
      </c>
      <c r="D12" t="s">
        <v>1668</v>
      </c>
      <c r="E12" t="s">
        <v>928</v>
      </c>
      <c r="F12" t="s">
        <v>1667</v>
      </c>
      <c r="G12" t="s">
        <v>1665</v>
      </c>
      <c r="H12" t="s">
        <v>648</v>
      </c>
      <c r="I12">
        <v>13</v>
      </c>
      <c r="J12">
        <v>12</v>
      </c>
      <c r="K12">
        <v>12</v>
      </c>
      <c r="L12">
        <v>0</v>
      </c>
      <c r="M12">
        <v>3</v>
      </c>
      <c r="N12" t="s">
        <v>1684</v>
      </c>
      <c r="O12" t="s">
        <v>1666</v>
      </c>
    </row>
    <row r="13" spans="1:15" x14ac:dyDescent="0.2">
      <c r="A13">
        <v>8</v>
      </c>
      <c r="B13" t="s">
        <v>1649</v>
      </c>
      <c r="C13" t="s">
        <v>498</v>
      </c>
      <c r="D13" t="s">
        <v>1664</v>
      </c>
      <c r="E13" t="s">
        <v>1665</v>
      </c>
      <c r="F13" t="s">
        <v>928</v>
      </c>
      <c r="G13" t="s">
        <v>648</v>
      </c>
      <c r="H13" t="s">
        <v>648</v>
      </c>
      <c r="I13">
        <v>17</v>
      </c>
      <c r="J13">
        <v>11</v>
      </c>
      <c r="K13">
        <v>0</v>
      </c>
      <c r="L13">
        <v>0</v>
      </c>
      <c r="M13">
        <v>2</v>
      </c>
      <c r="N13" t="s">
        <v>1683</v>
      </c>
      <c r="O13" t="s">
        <v>648</v>
      </c>
    </row>
    <row r="14" spans="1:15" x14ac:dyDescent="0.2">
      <c r="A14">
        <v>22</v>
      </c>
      <c r="B14" t="s">
        <v>1649</v>
      </c>
      <c r="C14" t="s">
        <v>501</v>
      </c>
      <c r="D14" t="s">
        <v>1668</v>
      </c>
      <c r="E14" t="s">
        <v>928</v>
      </c>
      <c r="F14" t="s">
        <v>1667</v>
      </c>
      <c r="G14" t="s">
        <v>1665</v>
      </c>
      <c r="H14" t="s">
        <v>648</v>
      </c>
      <c r="I14">
        <v>11</v>
      </c>
      <c r="J14">
        <v>8</v>
      </c>
      <c r="K14">
        <v>7</v>
      </c>
      <c r="L14">
        <v>0</v>
      </c>
      <c r="M14">
        <v>3</v>
      </c>
      <c r="N14" t="s">
        <v>1683</v>
      </c>
      <c r="O14" t="s">
        <v>648</v>
      </c>
    </row>
    <row r="15" spans="1:15" x14ac:dyDescent="0.2">
      <c r="A15">
        <v>12</v>
      </c>
      <c r="B15" t="s">
        <v>1649</v>
      </c>
      <c r="C15" t="s">
        <v>503</v>
      </c>
      <c r="D15" t="s">
        <v>1664</v>
      </c>
      <c r="E15" t="s">
        <v>1665</v>
      </c>
      <c r="F15" t="s">
        <v>928</v>
      </c>
      <c r="G15" t="s">
        <v>648</v>
      </c>
      <c r="H15" t="s">
        <v>648</v>
      </c>
      <c r="I15">
        <v>14</v>
      </c>
      <c r="J15">
        <v>7</v>
      </c>
      <c r="K15">
        <v>0</v>
      </c>
      <c r="L15">
        <v>0</v>
      </c>
      <c r="M15">
        <v>2</v>
      </c>
      <c r="N15" t="s">
        <v>1683</v>
      </c>
      <c r="O15" t="s">
        <v>648</v>
      </c>
    </row>
    <row r="16" spans="1:15" x14ac:dyDescent="0.2">
      <c r="A16">
        <v>23</v>
      </c>
      <c r="B16" t="s">
        <v>1649</v>
      </c>
      <c r="C16" t="s">
        <v>505</v>
      </c>
      <c r="D16" t="s">
        <v>1664</v>
      </c>
      <c r="E16" t="s">
        <v>928</v>
      </c>
      <c r="F16" t="s">
        <v>1665</v>
      </c>
      <c r="G16" t="s">
        <v>1667</v>
      </c>
      <c r="H16" t="s">
        <v>648</v>
      </c>
      <c r="I16">
        <v>11</v>
      </c>
      <c r="J16">
        <v>9</v>
      </c>
      <c r="K16">
        <v>7</v>
      </c>
      <c r="L16">
        <v>0</v>
      </c>
      <c r="M16">
        <v>3</v>
      </c>
      <c r="N16" t="s">
        <v>1683</v>
      </c>
      <c r="O16" t="s">
        <v>648</v>
      </c>
    </row>
    <row r="17" spans="1:15" x14ac:dyDescent="0.2">
      <c r="A17">
        <v>15</v>
      </c>
      <c r="B17" t="s">
        <v>1649</v>
      </c>
      <c r="C17" t="s">
        <v>510</v>
      </c>
      <c r="D17" t="s">
        <v>1664</v>
      </c>
      <c r="E17" t="s">
        <v>1665</v>
      </c>
      <c r="F17" t="s">
        <v>928</v>
      </c>
      <c r="G17" t="s">
        <v>648</v>
      </c>
      <c r="H17" t="s">
        <v>648</v>
      </c>
      <c r="I17">
        <v>13</v>
      </c>
      <c r="J17">
        <v>7</v>
      </c>
      <c r="K17">
        <v>0</v>
      </c>
      <c r="L17">
        <v>0</v>
      </c>
      <c r="M17">
        <v>2</v>
      </c>
      <c r="N17" t="s">
        <v>1683</v>
      </c>
      <c r="O17" t="s">
        <v>648</v>
      </c>
    </row>
    <row r="18" spans="1:15" x14ac:dyDescent="0.2">
      <c r="A18">
        <v>11</v>
      </c>
      <c r="B18" t="s">
        <v>1649</v>
      </c>
      <c r="C18" t="s">
        <v>515</v>
      </c>
      <c r="D18" t="s">
        <v>1668</v>
      </c>
      <c r="E18" t="s">
        <v>1667</v>
      </c>
      <c r="F18" t="s">
        <v>928</v>
      </c>
      <c r="G18" t="s">
        <v>648</v>
      </c>
      <c r="H18" t="s">
        <v>648</v>
      </c>
      <c r="I18">
        <v>15</v>
      </c>
      <c r="J18">
        <v>11</v>
      </c>
      <c r="K18">
        <v>0</v>
      </c>
      <c r="L18">
        <v>0</v>
      </c>
      <c r="M18">
        <v>2</v>
      </c>
      <c r="N18" t="s">
        <v>1683</v>
      </c>
      <c r="O18" t="s">
        <v>648</v>
      </c>
    </row>
    <row r="19" spans="1:15" x14ac:dyDescent="0.2">
      <c r="A19">
        <v>24</v>
      </c>
      <c r="B19" t="s">
        <v>1649</v>
      </c>
      <c r="C19" t="s">
        <v>517</v>
      </c>
      <c r="D19" t="s">
        <v>1668</v>
      </c>
      <c r="E19" t="s">
        <v>1667</v>
      </c>
      <c r="F19" t="s">
        <v>928</v>
      </c>
      <c r="G19" t="s">
        <v>1665</v>
      </c>
      <c r="H19" t="s">
        <v>648</v>
      </c>
      <c r="I19">
        <v>10</v>
      </c>
      <c r="J19">
        <v>8</v>
      </c>
      <c r="K19">
        <v>6</v>
      </c>
      <c r="L19">
        <v>0</v>
      </c>
      <c r="M19">
        <v>3</v>
      </c>
      <c r="N19" t="s">
        <v>1683</v>
      </c>
      <c r="O19" t="s">
        <v>648</v>
      </c>
    </row>
    <row r="20" spans="1:15" x14ac:dyDescent="0.2">
      <c r="A20">
        <v>14</v>
      </c>
      <c r="B20" t="s">
        <v>1649</v>
      </c>
      <c r="C20" t="s">
        <v>520</v>
      </c>
      <c r="D20" t="s">
        <v>1664</v>
      </c>
      <c r="E20" t="s">
        <v>1665</v>
      </c>
      <c r="F20" t="s">
        <v>928</v>
      </c>
      <c r="G20" t="s">
        <v>648</v>
      </c>
      <c r="H20" t="s">
        <v>648</v>
      </c>
      <c r="I20">
        <v>14</v>
      </c>
      <c r="J20">
        <v>6</v>
      </c>
      <c r="K20">
        <v>0</v>
      </c>
      <c r="L20">
        <v>0</v>
      </c>
      <c r="M20">
        <v>2</v>
      </c>
      <c r="N20" t="s">
        <v>1683</v>
      </c>
      <c r="O20" t="s">
        <v>648</v>
      </c>
    </row>
    <row r="21" spans="1:15" x14ac:dyDescent="0.2">
      <c r="A21">
        <v>4</v>
      </c>
      <c r="B21" t="s">
        <v>1649</v>
      </c>
      <c r="C21" t="s">
        <v>535</v>
      </c>
      <c r="D21" t="s">
        <v>1664</v>
      </c>
      <c r="E21" t="s">
        <v>1665</v>
      </c>
      <c r="F21" t="s">
        <v>928</v>
      </c>
      <c r="G21" t="s">
        <v>648</v>
      </c>
      <c r="H21" t="s">
        <v>648</v>
      </c>
      <c r="I21">
        <v>20</v>
      </c>
      <c r="J21">
        <v>12</v>
      </c>
      <c r="K21">
        <v>0</v>
      </c>
      <c r="L21">
        <v>0</v>
      </c>
      <c r="M21">
        <v>2</v>
      </c>
      <c r="N21" t="s">
        <v>1686</v>
      </c>
      <c r="O21" t="s">
        <v>1685</v>
      </c>
    </row>
    <row r="22" spans="1:15" x14ac:dyDescent="0.2">
      <c r="A22">
        <v>10</v>
      </c>
      <c r="B22" t="s">
        <v>1649</v>
      </c>
      <c r="C22" t="s">
        <v>536</v>
      </c>
      <c r="D22" t="s">
        <v>1664</v>
      </c>
      <c r="E22" t="s">
        <v>1665</v>
      </c>
      <c r="F22" t="s">
        <v>928</v>
      </c>
      <c r="G22" t="s">
        <v>648</v>
      </c>
      <c r="H22" t="s">
        <v>648</v>
      </c>
      <c r="I22">
        <v>15</v>
      </c>
      <c r="J22">
        <v>11</v>
      </c>
      <c r="K22">
        <v>0</v>
      </c>
      <c r="L22">
        <v>0</v>
      </c>
      <c r="M22">
        <v>2</v>
      </c>
      <c r="N22" t="s">
        <v>1683</v>
      </c>
      <c r="O22" t="s">
        <v>648</v>
      </c>
    </row>
    <row r="23" spans="1:15" x14ac:dyDescent="0.2">
      <c r="A23">
        <v>13</v>
      </c>
      <c r="B23" t="s">
        <v>1649</v>
      </c>
      <c r="C23" t="s">
        <v>537</v>
      </c>
      <c r="D23" t="s">
        <v>1664</v>
      </c>
      <c r="E23" t="s">
        <v>1665</v>
      </c>
      <c r="F23" t="s">
        <v>928</v>
      </c>
      <c r="G23" t="s">
        <v>648</v>
      </c>
      <c r="H23" t="s">
        <v>648</v>
      </c>
      <c r="I23">
        <v>14</v>
      </c>
      <c r="J23">
        <v>7</v>
      </c>
      <c r="K23">
        <v>0</v>
      </c>
      <c r="L23">
        <v>0</v>
      </c>
      <c r="M23">
        <v>2</v>
      </c>
      <c r="N23" t="s">
        <v>1683</v>
      </c>
      <c r="O23" t="s">
        <v>648</v>
      </c>
    </row>
    <row r="24" spans="1:15" x14ac:dyDescent="0.2">
      <c r="A24">
        <v>16</v>
      </c>
      <c r="B24" t="s">
        <v>1649</v>
      </c>
      <c r="C24" t="s">
        <v>540</v>
      </c>
      <c r="D24" t="s">
        <v>1664</v>
      </c>
      <c r="E24" t="s">
        <v>1665</v>
      </c>
      <c r="F24" t="s">
        <v>928</v>
      </c>
      <c r="G24" t="s">
        <v>648</v>
      </c>
      <c r="H24" t="s">
        <v>648</v>
      </c>
      <c r="I24">
        <v>13</v>
      </c>
      <c r="J24">
        <v>7</v>
      </c>
      <c r="K24">
        <v>0</v>
      </c>
      <c r="L24">
        <v>0</v>
      </c>
      <c r="M24">
        <v>2</v>
      </c>
      <c r="N24" t="s">
        <v>1683</v>
      </c>
      <c r="O24" t="s">
        <v>648</v>
      </c>
    </row>
    <row r="25" spans="1:15" x14ac:dyDescent="0.2">
      <c r="A25">
        <v>21</v>
      </c>
      <c r="B25" t="s">
        <v>1649</v>
      </c>
      <c r="C25" t="s">
        <v>541</v>
      </c>
      <c r="D25" t="s">
        <v>1668</v>
      </c>
      <c r="E25" t="s">
        <v>1667</v>
      </c>
      <c r="F25" t="s">
        <v>928</v>
      </c>
      <c r="G25" t="s">
        <v>1665</v>
      </c>
      <c r="H25" t="s">
        <v>648</v>
      </c>
      <c r="I25">
        <v>11</v>
      </c>
      <c r="J25">
        <v>8</v>
      </c>
      <c r="K25">
        <v>6</v>
      </c>
      <c r="L25">
        <v>0</v>
      </c>
      <c r="M25">
        <v>3</v>
      </c>
      <c r="N25" t="s">
        <v>1683</v>
      </c>
      <c r="O25" t="s">
        <v>648</v>
      </c>
    </row>
    <row r="26" spans="1:15" x14ac:dyDescent="0.2">
      <c r="A26">
        <v>18</v>
      </c>
      <c r="B26" t="s">
        <v>1649</v>
      </c>
      <c r="C26" t="s">
        <v>634</v>
      </c>
      <c r="D26" t="s">
        <v>1664</v>
      </c>
      <c r="E26" t="s">
        <v>1665</v>
      </c>
      <c r="F26" t="s">
        <v>928</v>
      </c>
      <c r="G26" t="s">
        <v>1667</v>
      </c>
      <c r="H26" t="s">
        <v>648</v>
      </c>
      <c r="I26">
        <v>12</v>
      </c>
      <c r="J26">
        <v>10</v>
      </c>
      <c r="K26">
        <v>9</v>
      </c>
      <c r="L26">
        <v>0</v>
      </c>
      <c r="M26">
        <v>3</v>
      </c>
      <c r="N26" t="s">
        <v>1684</v>
      </c>
      <c r="O26" t="s">
        <v>1666</v>
      </c>
    </row>
  </sheetData>
  <autoFilter ref="A1:O1" xr:uid="{2571F469-8034-8E47-8BFF-C0FFA68114FD}">
    <sortState xmlns:xlrd2="http://schemas.microsoft.com/office/spreadsheetml/2017/richdata2" ref="A2:O26">
      <sortCondition ref="C1:C26"/>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440C-3F94-C649-8C01-61D355C8A687}">
  <dimension ref="A1:O27"/>
  <sheetViews>
    <sheetView workbookViewId="0">
      <selection activeCell="O1" activeCellId="1" sqref="B1:C27 O1:O27"/>
    </sheetView>
  </sheetViews>
  <sheetFormatPr baseColWidth="10" defaultRowHeight="16" x14ac:dyDescent="0.2"/>
  <cols>
    <col min="14" max="14" width="32.5" bestFit="1" customWidth="1"/>
    <col min="15" max="15" width="6.33203125" bestFit="1" customWidth="1"/>
  </cols>
  <sheetData>
    <row r="1" spans="1:15" x14ac:dyDescent="0.2">
      <c r="B1" t="s">
        <v>1652</v>
      </c>
      <c r="C1" t="s">
        <v>1653</v>
      </c>
      <c r="D1" t="s">
        <v>1654</v>
      </c>
      <c r="E1" t="s">
        <v>1655</v>
      </c>
      <c r="F1" t="s">
        <v>1656</v>
      </c>
      <c r="G1" t="s">
        <v>1657</v>
      </c>
      <c r="H1" t="s">
        <v>1658</v>
      </c>
      <c r="I1" t="s">
        <v>1659</v>
      </c>
      <c r="J1" t="s">
        <v>1660</v>
      </c>
      <c r="K1" t="s">
        <v>1661</v>
      </c>
      <c r="L1" t="s">
        <v>1662</v>
      </c>
      <c r="M1" t="s">
        <v>1663</v>
      </c>
      <c r="N1" t="s">
        <v>1682</v>
      </c>
      <c r="O1" t="s">
        <v>1681</v>
      </c>
    </row>
    <row r="2" spans="1:15" x14ac:dyDescent="0.2">
      <c r="A2">
        <v>10</v>
      </c>
      <c r="B2" t="s">
        <v>1649</v>
      </c>
      <c r="C2" t="s">
        <v>368</v>
      </c>
      <c r="D2" t="s">
        <v>1666</v>
      </c>
      <c r="E2" t="s">
        <v>1665</v>
      </c>
      <c r="F2" t="s">
        <v>1667</v>
      </c>
      <c r="G2" t="s">
        <v>928</v>
      </c>
      <c r="H2" t="s">
        <v>648</v>
      </c>
      <c r="I2">
        <v>16</v>
      </c>
      <c r="J2">
        <v>12</v>
      </c>
      <c r="K2">
        <v>10</v>
      </c>
      <c r="L2">
        <v>0</v>
      </c>
      <c r="M2">
        <v>3</v>
      </c>
      <c r="N2" t="s">
        <v>1684</v>
      </c>
      <c r="O2" t="s">
        <v>1666</v>
      </c>
    </row>
    <row r="3" spans="1:15" x14ac:dyDescent="0.2">
      <c r="A3">
        <v>2</v>
      </c>
      <c r="B3" t="s">
        <v>1649</v>
      </c>
      <c r="C3" t="s">
        <v>451</v>
      </c>
      <c r="D3" t="s">
        <v>1668</v>
      </c>
      <c r="E3" t="s">
        <v>1667</v>
      </c>
      <c r="F3" t="s">
        <v>928</v>
      </c>
      <c r="G3" t="s">
        <v>1665</v>
      </c>
      <c r="H3" t="s">
        <v>648</v>
      </c>
      <c r="I3">
        <v>26</v>
      </c>
      <c r="J3">
        <v>14</v>
      </c>
      <c r="K3">
        <v>14</v>
      </c>
      <c r="L3">
        <v>0</v>
      </c>
      <c r="M3">
        <v>3</v>
      </c>
      <c r="N3" t="s">
        <v>1684</v>
      </c>
      <c r="O3" t="s">
        <v>1666</v>
      </c>
    </row>
    <row r="4" spans="1:15" x14ac:dyDescent="0.2">
      <c r="A4">
        <v>22</v>
      </c>
      <c r="B4" t="s">
        <v>1649</v>
      </c>
      <c r="C4" t="s">
        <v>452</v>
      </c>
      <c r="D4" t="s">
        <v>1666</v>
      </c>
      <c r="E4" t="s">
        <v>1665</v>
      </c>
      <c r="F4" t="s">
        <v>1667</v>
      </c>
      <c r="G4" t="s">
        <v>928</v>
      </c>
      <c r="H4" t="s">
        <v>648</v>
      </c>
      <c r="I4">
        <v>12</v>
      </c>
      <c r="J4">
        <v>10</v>
      </c>
      <c r="K4">
        <v>9</v>
      </c>
      <c r="L4">
        <v>0</v>
      </c>
      <c r="M4">
        <v>3</v>
      </c>
      <c r="N4" t="s">
        <v>1684</v>
      </c>
      <c r="O4" t="s">
        <v>1666</v>
      </c>
    </row>
    <row r="5" spans="1:15" x14ac:dyDescent="0.2">
      <c r="A5">
        <v>21</v>
      </c>
      <c r="B5" t="s">
        <v>1649</v>
      </c>
      <c r="C5" t="s">
        <v>487</v>
      </c>
      <c r="D5" t="s">
        <v>1666</v>
      </c>
      <c r="E5" t="s">
        <v>1667</v>
      </c>
      <c r="F5" t="s">
        <v>1665</v>
      </c>
      <c r="G5" t="s">
        <v>928</v>
      </c>
      <c r="H5" t="s">
        <v>648</v>
      </c>
      <c r="I5">
        <v>12</v>
      </c>
      <c r="J5">
        <v>11</v>
      </c>
      <c r="K5">
        <v>6</v>
      </c>
      <c r="L5">
        <v>0</v>
      </c>
      <c r="M5">
        <v>3</v>
      </c>
      <c r="N5" t="s">
        <v>1684</v>
      </c>
      <c r="O5" t="s">
        <v>1666</v>
      </c>
    </row>
    <row r="6" spans="1:15" x14ac:dyDescent="0.2">
      <c r="A6">
        <v>19</v>
      </c>
      <c r="B6" t="s">
        <v>1649</v>
      </c>
      <c r="C6" t="s">
        <v>493</v>
      </c>
      <c r="D6" t="s">
        <v>1668</v>
      </c>
      <c r="E6" t="s">
        <v>928</v>
      </c>
      <c r="F6" t="s">
        <v>1667</v>
      </c>
      <c r="G6" t="s">
        <v>1665</v>
      </c>
      <c r="H6" t="s">
        <v>648</v>
      </c>
      <c r="I6">
        <v>13</v>
      </c>
      <c r="J6">
        <v>12</v>
      </c>
      <c r="K6">
        <v>12</v>
      </c>
      <c r="L6">
        <v>0</v>
      </c>
      <c r="M6">
        <v>3</v>
      </c>
      <c r="N6" t="s">
        <v>1684</v>
      </c>
      <c r="O6" t="s">
        <v>1666</v>
      </c>
    </row>
    <row r="7" spans="1:15" x14ac:dyDescent="0.2">
      <c r="A7">
        <v>23</v>
      </c>
      <c r="B7" t="s">
        <v>1649</v>
      </c>
      <c r="C7" t="s">
        <v>634</v>
      </c>
      <c r="D7" t="s">
        <v>1664</v>
      </c>
      <c r="E7" t="s">
        <v>1665</v>
      </c>
      <c r="F7" t="s">
        <v>928</v>
      </c>
      <c r="G7" t="s">
        <v>1667</v>
      </c>
      <c r="H7" t="s">
        <v>648</v>
      </c>
      <c r="I7">
        <v>12</v>
      </c>
      <c r="J7">
        <v>10</v>
      </c>
      <c r="K7">
        <v>9</v>
      </c>
      <c r="L7">
        <v>0</v>
      </c>
      <c r="M7">
        <v>3</v>
      </c>
      <c r="N7" t="s">
        <v>1684</v>
      </c>
      <c r="O7" t="s">
        <v>1666</v>
      </c>
    </row>
    <row r="8" spans="1:15" x14ac:dyDescent="0.2">
      <c r="A8">
        <v>5</v>
      </c>
      <c r="B8" t="s">
        <v>1649</v>
      </c>
      <c r="C8" t="s">
        <v>369</v>
      </c>
      <c r="D8" t="s">
        <v>1664</v>
      </c>
      <c r="E8" t="s">
        <v>1665</v>
      </c>
      <c r="F8" t="s">
        <v>928</v>
      </c>
      <c r="G8" t="s">
        <v>648</v>
      </c>
      <c r="H8" t="s">
        <v>648</v>
      </c>
      <c r="I8">
        <v>20</v>
      </c>
      <c r="J8">
        <v>11</v>
      </c>
      <c r="K8">
        <v>0</v>
      </c>
      <c r="L8">
        <v>0</v>
      </c>
      <c r="M8">
        <v>2</v>
      </c>
      <c r="N8" t="s">
        <v>1686</v>
      </c>
      <c r="O8" t="s">
        <v>1685</v>
      </c>
    </row>
    <row r="9" spans="1:15" x14ac:dyDescent="0.2">
      <c r="A9">
        <v>1</v>
      </c>
      <c r="B9" t="s">
        <v>1649</v>
      </c>
      <c r="C9" t="s">
        <v>448</v>
      </c>
      <c r="D9" t="s">
        <v>1664</v>
      </c>
      <c r="E9" t="s">
        <v>1665</v>
      </c>
      <c r="F9" t="s">
        <v>928</v>
      </c>
      <c r="G9" t="s">
        <v>648</v>
      </c>
      <c r="H9" t="s">
        <v>648</v>
      </c>
      <c r="I9">
        <v>31</v>
      </c>
      <c r="J9">
        <v>14</v>
      </c>
      <c r="K9">
        <v>0</v>
      </c>
      <c r="L9">
        <v>0</v>
      </c>
      <c r="M9">
        <v>2</v>
      </c>
      <c r="N9" t="s">
        <v>1686</v>
      </c>
      <c r="O9" t="s">
        <v>1685</v>
      </c>
    </row>
    <row r="10" spans="1:15" x14ac:dyDescent="0.2">
      <c r="A10">
        <v>4</v>
      </c>
      <c r="B10" t="s">
        <v>1649</v>
      </c>
      <c r="C10" t="s">
        <v>535</v>
      </c>
      <c r="D10" t="s">
        <v>1664</v>
      </c>
      <c r="E10" t="s">
        <v>1665</v>
      </c>
      <c r="F10" t="s">
        <v>928</v>
      </c>
      <c r="G10" t="s">
        <v>648</v>
      </c>
      <c r="H10" t="s">
        <v>648</v>
      </c>
      <c r="I10">
        <v>20</v>
      </c>
      <c r="J10">
        <v>12</v>
      </c>
      <c r="K10">
        <v>0</v>
      </c>
      <c r="L10">
        <v>0</v>
      </c>
      <c r="M10">
        <v>2</v>
      </c>
      <c r="N10" t="s">
        <v>1686</v>
      </c>
      <c r="O10" t="s">
        <v>1685</v>
      </c>
    </row>
    <row r="11" spans="1:15" x14ac:dyDescent="0.2">
      <c r="A11">
        <v>7</v>
      </c>
      <c r="B11" t="s">
        <v>1649</v>
      </c>
      <c r="C11" t="s">
        <v>447</v>
      </c>
      <c r="D11" t="s">
        <v>1668</v>
      </c>
      <c r="E11" t="s">
        <v>1667</v>
      </c>
      <c r="F11" t="s">
        <v>928</v>
      </c>
      <c r="G11" t="s">
        <v>648</v>
      </c>
      <c r="H11" t="s">
        <v>648</v>
      </c>
      <c r="I11">
        <v>18</v>
      </c>
      <c r="J11">
        <v>14</v>
      </c>
      <c r="K11">
        <v>0</v>
      </c>
      <c r="L11">
        <v>0</v>
      </c>
      <c r="M11">
        <v>2</v>
      </c>
      <c r="N11" t="s">
        <v>1683</v>
      </c>
      <c r="O11" t="s">
        <v>648</v>
      </c>
    </row>
    <row r="12" spans="1:15" x14ac:dyDescent="0.2">
      <c r="A12">
        <v>26</v>
      </c>
      <c r="B12" t="s">
        <v>1649</v>
      </c>
      <c r="C12" t="s">
        <v>485</v>
      </c>
      <c r="D12" t="s">
        <v>1664</v>
      </c>
      <c r="E12" t="s">
        <v>1665</v>
      </c>
      <c r="F12" t="s">
        <v>928</v>
      </c>
      <c r="G12" t="s">
        <v>648</v>
      </c>
      <c r="H12" t="s">
        <v>648</v>
      </c>
      <c r="I12">
        <v>10</v>
      </c>
      <c r="J12">
        <v>10</v>
      </c>
      <c r="K12">
        <v>0</v>
      </c>
      <c r="L12">
        <v>0</v>
      </c>
      <c r="M12">
        <v>2</v>
      </c>
      <c r="N12" t="s">
        <v>1683</v>
      </c>
      <c r="O12" t="s">
        <v>648</v>
      </c>
    </row>
    <row r="13" spans="1:15" x14ac:dyDescent="0.2">
      <c r="A13">
        <v>9</v>
      </c>
      <c r="B13" t="s">
        <v>1649</v>
      </c>
      <c r="C13" t="s">
        <v>498</v>
      </c>
      <c r="D13" t="s">
        <v>1664</v>
      </c>
      <c r="E13" t="s">
        <v>1665</v>
      </c>
      <c r="F13" t="s">
        <v>928</v>
      </c>
      <c r="G13" t="s">
        <v>648</v>
      </c>
      <c r="H13" t="s">
        <v>648</v>
      </c>
      <c r="I13">
        <v>17</v>
      </c>
      <c r="J13">
        <v>11</v>
      </c>
      <c r="K13">
        <v>0</v>
      </c>
      <c r="L13">
        <v>0</v>
      </c>
      <c r="M13">
        <v>2</v>
      </c>
      <c r="N13" t="s">
        <v>1683</v>
      </c>
      <c r="O13" t="s">
        <v>648</v>
      </c>
    </row>
    <row r="14" spans="1:15" x14ac:dyDescent="0.2">
      <c r="A14">
        <v>17</v>
      </c>
      <c r="B14" t="s">
        <v>1649</v>
      </c>
      <c r="C14" t="s">
        <v>503</v>
      </c>
      <c r="D14" t="s">
        <v>1664</v>
      </c>
      <c r="E14" t="s">
        <v>1665</v>
      </c>
      <c r="F14" t="s">
        <v>928</v>
      </c>
      <c r="G14" t="s">
        <v>648</v>
      </c>
      <c r="H14" t="s">
        <v>648</v>
      </c>
      <c r="I14">
        <v>14</v>
      </c>
      <c r="J14">
        <v>7</v>
      </c>
      <c r="K14">
        <v>0</v>
      </c>
      <c r="L14">
        <v>0</v>
      </c>
      <c r="M14">
        <v>2</v>
      </c>
      <c r="N14" t="s">
        <v>1683</v>
      </c>
      <c r="O14" t="s">
        <v>648</v>
      </c>
    </row>
    <row r="15" spans="1:15" x14ac:dyDescent="0.2">
      <c r="A15">
        <v>24</v>
      </c>
      <c r="B15" t="s">
        <v>1649</v>
      </c>
      <c r="C15" t="s">
        <v>505</v>
      </c>
      <c r="D15" t="s">
        <v>1664</v>
      </c>
      <c r="E15" t="s">
        <v>928</v>
      </c>
      <c r="F15" t="s">
        <v>1665</v>
      </c>
      <c r="G15" t="s">
        <v>1667</v>
      </c>
      <c r="H15" t="s">
        <v>648</v>
      </c>
      <c r="I15">
        <v>11</v>
      </c>
      <c r="J15">
        <v>9</v>
      </c>
      <c r="K15">
        <v>7</v>
      </c>
      <c r="L15">
        <v>0</v>
      </c>
      <c r="M15">
        <v>3</v>
      </c>
      <c r="N15" t="s">
        <v>1683</v>
      </c>
      <c r="O15" t="s">
        <v>648</v>
      </c>
    </row>
    <row r="16" spans="1:15" x14ac:dyDescent="0.2">
      <c r="A16">
        <v>20</v>
      </c>
      <c r="B16" t="s">
        <v>1649</v>
      </c>
      <c r="C16" t="s">
        <v>510</v>
      </c>
      <c r="D16" t="s">
        <v>1664</v>
      </c>
      <c r="E16" t="s">
        <v>1665</v>
      </c>
      <c r="F16" t="s">
        <v>928</v>
      </c>
      <c r="G16" t="s">
        <v>648</v>
      </c>
      <c r="H16" t="s">
        <v>648</v>
      </c>
      <c r="I16">
        <v>13</v>
      </c>
      <c r="J16">
        <v>7</v>
      </c>
      <c r="K16">
        <v>0</v>
      </c>
      <c r="L16">
        <v>0</v>
      </c>
      <c r="M16">
        <v>2</v>
      </c>
      <c r="N16" t="s">
        <v>1683</v>
      </c>
      <c r="O16" t="s">
        <v>648</v>
      </c>
    </row>
    <row r="17" spans="1:15" x14ac:dyDescent="0.2">
      <c r="A17">
        <v>12</v>
      </c>
      <c r="B17" t="s">
        <v>1649</v>
      </c>
      <c r="C17" t="s">
        <v>515</v>
      </c>
      <c r="D17" t="s">
        <v>1668</v>
      </c>
      <c r="E17" t="s">
        <v>1667</v>
      </c>
      <c r="F17" t="s">
        <v>928</v>
      </c>
      <c r="G17" t="s">
        <v>648</v>
      </c>
      <c r="H17" t="s">
        <v>648</v>
      </c>
      <c r="I17">
        <v>15</v>
      </c>
      <c r="J17">
        <v>11</v>
      </c>
      <c r="K17">
        <v>0</v>
      </c>
      <c r="L17">
        <v>0</v>
      </c>
      <c r="M17">
        <v>2</v>
      </c>
      <c r="N17" t="s">
        <v>1683</v>
      </c>
      <c r="O17" t="s">
        <v>648</v>
      </c>
    </row>
    <row r="18" spans="1:15" x14ac:dyDescent="0.2">
      <c r="A18">
        <v>16</v>
      </c>
      <c r="B18" t="s">
        <v>1649</v>
      </c>
      <c r="C18" t="s">
        <v>520</v>
      </c>
      <c r="D18" t="s">
        <v>1664</v>
      </c>
      <c r="E18" t="s">
        <v>1665</v>
      </c>
      <c r="F18" t="s">
        <v>928</v>
      </c>
      <c r="G18" t="s">
        <v>648</v>
      </c>
      <c r="H18" t="s">
        <v>648</v>
      </c>
      <c r="I18">
        <v>14</v>
      </c>
      <c r="J18">
        <v>6</v>
      </c>
      <c r="K18">
        <v>0</v>
      </c>
      <c r="L18">
        <v>0</v>
      </c>
      <c r="M18">
        <v>2</v>
      </c>
      <c r="N18" t="s">
        <v>1683</v>
      </c>
      <c r="O18" t="s">
        <v>648</v>
      </c>
    </row>
    <row r="19" spans="1:15" x14ac:dyDescent="0.2">
      <c r="A19">
        <v>13</v>
      </c>
      <c r="B19" t="s">
        <v>1649</v>
      </c>
      <c r="C19" t="s">
        <v>536</v>
      </c>
      <c r="D19" t="s">
        <v>1664</v>
      </c>
      <c r="E19" t="s">
        <v>1665</v>
      </c>
      <c r="F19" t="s">
        <v>928</v>
      </c>
      <c r="G19" t="s">
        <v>648</v>
      </c>
      <c r="H19" t="s">
        <v>648</v>
      </c>
      <c r="I19">
        <v>15</v>
      </c>
      <c r="J19">
        <v>11</v>
      </c>
      <c r="K19">
        <v>0</v>
      </c>
      <c r="L19">
        <v>0</v>
      </c>
      <c r="M19">
        <v>2</v>
      </c>
      <c r="N19" t="s">
        <v>1683</v>
      </c>
      <c r="O19" t="s">
        <v>648</v>
      </c>
    </row>
    <row r="20" spans="1:15" x14ac:dyDescent="0.2">
      <c r="A20">
        <v>14</v>
      </c>
      <c r="B20" t="s">
        <v>1649</v>
      </c>
      <c r="C20" t="s">
        <v>537</v>
      </c>
      <c r="D20" t="s">
        <v>1664</v>
      </c>
      <c r="E20" t="s">
        <v>1665</v>
      </c>
      <c r="F20" t="s">
        <v>928</v>
      </c>
      <c r="G20" t="s">
        <v>648</v>
      </c>
      <c r="H20" t="s">
        <v>648</v>
      </c>
      <c r="I20">
        <v>14</v>
      </c>
      <c r="J20">
        <v>7</v>
      </c>
      <c r="K20">
        <v>0</v>
      </c>
      <c r="L20">
        <v>0</v>
      </c>
      <c r="M20">
        <v>2</v>
      </c>
      <c r="N20" t="s">
        <v>1683</v>
      </c>
      <c r="O20" t="s">
        <v>648</v>
      </c>
    </row>
    <row r="21" spans="1:15" x14ac:dyDescent="0.2">
      <c r="A21">
        <v>18</v>
      </c>
      <c r="B21" t="s">
        <v>1649</v>
      </c>
      <c r="C21" t="s">
        <v>540</v>
      </c>
      <c r="D21" t="s">
        <v>1664</v>
      </c>
      <c r="E21" t="s">
        <v>1665</v>
      </c>
      <c r="F21" t="s">
        <v>928</v>
      </c>
      <c r="G21" t="s">
        <v>648</v>
      </c>
      <c r="H21" t="s">
        <v>648</v>
      </c>
      <c r="I21">
        <v>13</v>
      </c>
      <c r="J21">
        <v>7</v>
      </c>
      <c r="K21">
        <v>0</v>
      </c>
      <c r="L21">
        <v>0</v>
      </c>
      <c r="M21">
        <v>2</v>
      </c>
      <c r="N21" t="s">
        <v>1683</v>
      </c>
      <c r="O21" t="s">
        <v>648</v>
      </c>
    </row>
    <row r="22" spans="1:15" x14ac:dyDescent="0.2">
      <c r="A22">
        <v>25</v>
      </c>
      <c r="B22" t="s">
        <v>1649</v>
      </c>
      <c r="C22" t="s">
        <v>541</v>
      </c>
      <c r="D22" t="s">
        <v>1668</v>
      </c>
      <c r="E22" t="s">
        <v>1667</v>
      </c>
      <c r="F22" t="s">
        <v>928</v>
      </c>
      <c r="G22" t="s">
        <v>1665</v>
      </c>
      <c r="H22" t="s">
        <v>648</v>
      </c>
      <c r="I22">
        <v>11</v>
      </c>
      <c r="J22">
        <v>8</v>
      </c>
      <c r="K22">
        <v>6</v>
      </c>
      <c r="L22">
        <v>0</v>
      </c>
      <c r="M22">
        <v>3</v>
      </c>
      <c r="N22" t="s">
        <v>1683</v>
      </c>
      <c r="O22" t="s">
        <v>648</v>
      </c>
    </row>
    <row r="23" spans="1:15" x14ac:dyDescent="0.2">
      <c r="A23">
        <v>15</v>
      </c>
      <c r="B23" t="s">
        <v>1800</v>
      </c>
      <c r="C23" t="s">
        <v>473</v>
      </c>
      <c r="D23" t="s">
        <v>1666</v>
      </c>
      <c r="E23" t="s">
        <v>1665</v>
      </c>
      <c r="F23" t="s">
        <v>1667</v>
      </c>
      <c r="G23" t="s">
        <v>928</v>
      </c>
      <c r="H23" t="s">
        <v>648</v>
      </c>
      <c r="I23">
        <v>14</v>
      </c>
      <c r="J23">
        <v>11</v>
      </c>
      <c r="K23">
        <v>7</v>
      </c>
      <c r="L23">
        <v>0</v>
      </c>
      <c r="M23">
        <v>3</v>
      </c>
      <c r="N23" t="s">
        <v>1801</v>
      </c>
      <c r="O23" t="s">
        <v>1666</v>
      </c>
    </row>
    <row r="24" spans="1:15" x14ac:dyDescent="0.2">
      <c r="A24">
        <v>8</v>
      </c>
      <c r="B24" t="s">
        <v>1649</v>
      </c>
      <c r="C24" t="s">
        <v>479</v>
      </c>
      <c r="D24" t="s">
        <v>1668</v>
      </c>
      <c r="E24" t="s">
        <v>928</v>
      </c>
      <c r="F24" t="s">
        <v>1667</v>
      </c>
      <c r="G24" t="s">
        <v>1665</v>
      </c>
      <c r="H24" t="s">
        <v>648</v>
      </c>
      <c r="I24">
        <v>18</v>
      </c>
      <c r="J24">
        <v>11</v>
      </c>
      <c r="K24">
        <v>9</v>
      </c>
      <c r="L24">
        <v>0</v>
      </c>
      <c r="M24">
        <v>3</v>
      </c>
      <c r="N24" t="s">
        <v>1684</v>
      </c>
      <c r="O24" t="s">
        <v>1666</v>
      </c>
    </row>
    <row r="25" spans="1:15" x14ac:dyDescent="0.2">
      <c r="A25">
        <v>3</v>
      </c>
      <c r="B25" t="s">
        <v>1649</v>
      </c>
      <c r="C25" t="s">
        <v>490</v>
      </c>
      <c r="D25" t="s">
        <v>1664</v>
      </c>
      <c r="E25" t="s">
        <v>1665</v>
      </c>
      <c r="F25" t="s">
        <v>928</v>
      </c>
      <c r="G25" t="s">
        <v>648</v>
      </c>
      <c r="H25" t="s">
        <v>648</v>
      </c>
      <c r="I25">
        <v>23</v>
      </c>
      <c r="J25">
        <v>13</v>
      </c>
      <c r="K25">
        <v>0</v>
      </c>
      <c r="L25">
        <v>0</v>
      </c>
      <c r="M25">
        <v>2</v>
      </c>
      <c r="N25" t="s">
        <v>1683</v>
      </c>
      <c r="O25" t="s">
        <v>648</v>
      </c>
    </row>
    <row r="26" spans="1:15" x14ac:dyDescent="0.2">
      <c r="A26">
        <v>6</v>
      </c>
      <c r="B26" t="s">
        <v>1649</v>
      </c>
      <c r="C26" t="s">
        <v>500</v>
      </c>
      <c r="D26" t="s">
        <v>1668</v>
      </c>
      <c r="E26" t="s">
        <v>928</v>
      </c>
      <c r="F26" t="s">
        <v>1667</v>
      </c>
      <c r="G26" t="s">
        <v>1665</v>
      </c>
      <c r="H26" t="s">
        <v>648</v>
      </c>
      <c r="I26">
        <v>19</v>
      </c>
      <c r="J26">
        <v>17</v>
      </c>
      <c r="K26">
        <v>16</v>
      </c>
      <c r="L26">
        <v>0</v>
      </c>
      <c r="M26">
        <v>3</v>
      </c>
      <c r="N26" t="s">
        <v>1684</v>
      </c>
      <c r="O26" t="s">
        <v>1666</v>
      </c>
    </row>
    <row r="27" spans="1:15" x14ac:dyDescent="0.2">
      <c r="A27">
        <v>11</v>
      </c>
      <c r="B27" t="s">
        <v>1649</v>
      </c>
      <c r="C27" t="s">
        <v>516</v>
      </c>
      <c r="D27" t="s">
        <v>1668</v>
      </c>
      <c r="E27" t="s">
        <v>1667</v>
      </c>
      <c r="F27" t="s">
        <v>928</v>
      </c>
      <c r="G27" t="s">
        <v>1665</v>
      </c>
      <c r="H27" t="s">
        <v>648</v>
      </c>
      <c r="I27">
        <v>16</v>
      </c>
      <c r="J27">
        <v>15</v>
      </c>
      <c r="K27">
        <v>14</v>
      </c>
      <c r="L27">
        <v>0</v>
      </c>
      <c r="M27">
        <v>3</v>
      </c>
      <c r="N27" t="s">
        <v>1684</v>
      </c>
      <c r="O27" t="s">
        <v>1666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566D-C248-8448-BDDE-ECB12BA23505}">
  <dimension ref="A1:C27"/>
  <sheetViews>
    <sheetView workbookViewId="0">
      <selection sqref="A1:C27"/>
    </sheetView>
  </sheetViews>
  <sheetFormatPr baseColWidth="10" defaultRowHeight="16" x14ac:dyDescent="0.2"/>
  <sheetData>
    <row r="1" spans="1:3" x14ac:dyDescent="0.2">
      <c r="A1" t="s">
        <v>1652</v>
      </c>
      <c r="B1" t="s">
        <v>1653</v>
      </c>
      <c r="C1" t="s">
        <v>1654</v>
      </c>
    </row>
    <row r="2" spans="1:3" x14ac:dyDescent="0.2">
      <c r="A2" t="s">
        <v>1649</v>
      </c>
      <c r="B2" t="s">
        <v>368</v>
      </c>
      <c r="C2" t="s">
        <v>1666</v>
      </c>
    </row>
    <row r="3" spans="1:3" x14ac:dyDescent="0.2">
      <c r="A3" t="s">
        <v>1649</v>
      </c>
      <c r="B3" t="s">
        <v>451</v>
      </c>
      <c r="C3" t="s">
        <v>1666</v>
      </c>
    </row>
    <row r="4" spans="1:3" x14ac:dyDescent="0.2">
      <c r="A4" t="s">
        <v>1649</v>
      </c>
      <c r="B4" t="s">
        <v>452</v>
      </c>
      <c r="C4" t="s">
        <v>1666</v>
      </c>
    </row>
    <row r="5" spans="1:3" x14ac:dyDescent="0.2">
      <c r="A5" t="s">
        <v>1649</v>
      </c>
      <c r="B5" t="s">
        <v>487</v>
      </c>
      <c r="C5" t="s">
        <v>1666</v>
      </c>
    </row>
    <row r="6" spans="1:3" x14ac:dyDescent="0.2">
      <c r="A6" t="s">
        <v>1649</v>
      </c>
      <c r="B6" t="s">
        <v>493</v>
      </c>
      <c r="C6" t="s">
        <v>1666</v>
      </c>
    </row>
    <row r="7" spans="1:3" x14ac:dyDescent="0.2">
      <c r="A7" t="s">
        <v>1649</v>
      </c>
      <c r="B7" t="s">
        <v>634</v>
      </c>
      <c r="C7" t="s">
        <v>1666</v>
      </c>
    </row>
    <row r="8" spans="1:3" x14ac:dyDescent="0.2">
      <c r="A8" t="s">
        <v>1649</v>
      </c>
      <c r="B8" t="s">
        <v>369</v>
      </c>
      <c r="C8" t="s">
        <v>1685</v>
      </c>
    </row>
    <row r="9" spans="1:3" x14ac:dyDescent="0.2">
      <c r="A9" t="s">
        <v>1649</v>
      </c>
      <c r="B9" t="s">
        <v>448</v>
      </c>
      <c r="C9" t="s">
        <v>1685</v>
      </c>
    </row>
    <row r="10" spans="1:3" x14ac:dyDescent="0.2">
      <c r="A10" t="s">
        <v>1649</v>
      </c>
      <c r="B10" t="s">
        <v>535</v>
      </c>
      <c r="C10" t="s">
        <v>1685</v>
      </c>
    </row>
    <row r="11" spans="1:3" x14ac:dyDescent="0.2">
      <c r="A11" t="s">
        <v>1649</v>
      </c>
      <c r="B11" t="s">
        <v>447</v>
      </c>
      <c r="C11" t="s">
        <v>648</v>
      </c>
    </row>
    <row r="12" spans="1:3" x14ac:dyDescent="0.2">
      <c r="A12" t="s">
        <v>1649</v>
      </c>
      <c r="B12" t="s">
        <v>485</v>
      </c>
      <c r="C12" t="s">
        <v>648</v>
      </c>
    </row>
    <row r="13" spans="1:3" x14ac:dyDescent="0.2">
      <c r="A13" t="s">
        <v>1649</v>
      </c>
      <c r="B13" t="s">
        <v>498</v>
      </c>
      <c r="C13" t="s">
        <v>648</v>
      </c>
    </row>
    <row r="14" spans="1:3" x14ac:dyDescent="0.2">
      <c r="A14" t="s">
        <v>1649</v>
      </c>
      <c r="B14" t="s">
        <v>503</v>
      </c>
      <c r="C14" t="s">
        <v>648</v>
      </c>
    </row>
    <row r="15" spans="1:3" x14ac:dyDescent="0.2">
      <c r="A15" t="s">
        <v>1649</v>
      </c>
      <c r="B15" t="s">
        <v>505</v>
      </c>
      <c r="C15" t="s">
        <v>648</v>
      </c>
    </row>
    <row r="16" spans="1:3" x14ac:dyDescent="0.2">
      <c r="A16" t="s">
        <v>1649</v>
      </c>
      <c r="B16" t="s">
        <v>510</v>
      </c>
      <c r="C16" t="s">
        <v>648</v>
      </c>
    </row>
    <row r="17" spans="1:3" x14ac:dyDescent="0.2">
      <c r="A17" t="s">
        <v>1649</v>
      </c>
      <c r="B17" t="s">
        <v>515</v>
      </c>
      <c r="C17" t="s">
        <v>648</v>
      </c>
    </row>
    <row r="18" spans="1:3" x14ac:dyDescent="0.2">
      <c r="A18" t="s">
        <v>1649</v>
      </c>
      <c r="B18" t="s">
        <v>520</v>
      </c>
      <c r="C18" t="s">
        <v>648</v>
      </c>
    </row>
    <row r="19" spans="1:3" x14ac:dyDescent="0.2">
      <c r="A19" t="s">
        <v>1649</v>
      </c>
      <c r="B19" t="s">
        <v>536</v>
      </c>
      <c r="C19" t="s">
        <v>648</v>
      </c>
    </row>
    <row r="20" spans="1:3" x14ac:dyDescent="0.2">
      <c r="A20" t="s">
        <v>1649</v>
      </c>
      <c r="B20" t="s">
        <v>537</v>
      </c>
      <c r="C20" t="s">
        <v>648</v>
      </c>
    </row>
    <row r="21" spans="1:3" x14ac:dyDescent="0.2">
      <c r="A21" t="s">
        <v>1649</v>
      </c>
      <c r="B21" t="s">
        <v>540</v>
      </c>
      <c r="C21" t="s">
        <v>648</v>
      </c>
    </row>
    <row r="22" spans="1:3" x14ac:dyDescent="0.2">
      <c r="A22" t="s">
        <v>1649</v>
      </c>
      <c r="B22" t="s">
        <v>541</v>
      </c>
      <c r="C22" t="s">
        <v>648</v>
      </c>
    </row>
    <row r="23" spans="1:3" x14ac:dyDescent="0.2">
      <c r="A23" t="s">
        <v>1800</v>
      </c>
      <c r="B23" t="s">
        <v>473</v>
      </c>
      <c r="C23" t="s">
        <v>1666</v>
      </c>
    </row>
    <row r="24" spans="1:3" x14ac:dyDescent="0.2">
      <c r="A24" t="s">
        <v>1649</v>
      </c>
      <c r="B24" t="s">
        <v>479</v>
      </c>
      <c r="C24" t="s">
        <v>1666</v>
      </c>
    </row>
    <row r="25" spans="1:3" x14ac:dyDescent="0.2">
      <c r="A25" t="s">
        <v>1649</v>
      </c>
      <c r="B25" t="s">
        <v>490</v>
      </c>
      <c r="C25" t="s">
        <v>648</v>
      </c>
    </row>
    <row r="26" spans="1:3" x14ac:dyDescent="0.2">
      <c r="A26" t="s">
        <v>1649</v>
      </c>
      <c r="B26" t="s">
        <v>500</v>
      </c>
      <c r="C26" t="s">
        <v>1666</v>
      </c>
    </row>
    <row r="27" spans="1:3" x14ac:dyDescent="0.2">
      <c r="A27" t="s">
        <v>1649</v>
      </c>
      <c r="B27" t="s">
        <v>516</v>
      </c>
      <c r="C27" t="s">
        <v>1666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3CEF-9C99-5442-8176-713121432364}">
  <dimension ref="A1:Q25"/>
  <sheetViews>
    <sheetView workbookViewId="0">
      <selection activeCell="M49" sqref="M49"/>
    </sheetView>
  </sheetViews>
  <sheetFormatPr baseColWidth="10" defaultRowHeight="16" x14ac:dyDescent="0.2"/>
  <sheetData>
    <row r="1" spans="1:17" x14ac:dyDescent="0.2">
      <c r="A1" t="s">
        <v>1652</v>
      </c>
      <c r="B1" t="s">
        <v>1653</v>
      </c>
      <c r="C1" t="s">
        <v>1654</v>
      </c>
      <c r="D1" t="s">
        <v>1655</v>
      </c>
      <c r="E1" t="s">
        <v>1656</v>
      </c>
      <c r="F1" t="s">
        <v>1657</v>
      </c>
      <c r="G1" t="s">
        <v>1658</v>
      </c>
      <c r="H1" t="s">
        <v>1659</v>
      </c>
      <c r="I1" t="s">
        <v>1660</v>
      </c>
      <c r="J1" t="s">
        <v>1661</v>
      </c>
      <c r="K1" t="s">
        <v>1662</v>
      </c>
      <c r="L1" t="s">
        <v>1663</v>
      </c>
      <c r="M1" t="s">
        <v>1669</v>
      </c>
      <c r="N1" t="s">
        <v>1687</v>
      </c>
      <c r="O1" t="s">
        <v>1688</v>
      </c>
    </row>
    <row r="2" spans="1:17" x14ac:dyDescent="0.2">
      <c r="A2" t="s">
        <v>1651</v>
      </c>
      <c r="B2" t="s">
        <v>572</v>
      </c>
      <c r="C2" t="s">
        <v>1670</v>
      </c>
      <c r="D2" t="s">
        <v>1667</v>
      </c>
      <c r="E2" t="s">
        <v>1671</v>
      </c>
      <c r="F2" t="s">
        <v>648</v>
      </c>
      <c r="G2" t="s">
        <v>648</v>
      </c>
      <c r="H2">
        <v>66</v>
      </c>
      <c r="I2">
        <v>52</v>
      </c>
      <c r="J2">
        <v>0</v>
      </c>
      <c r="K2">
        <v>0</v>
      </c>
      <c r="L2">
        <v>2</v>
      </c>
      <c r="M2" t="s">
        <v>572</v>
      </c>
      <c r="N2">
        <f>SUM(H2:I2)</f>
        <v>118</v>
      </c>
      <c r="O2">
        <f>I2/(SUM(H2:I2))</f>
        <v>0.44067796610169491</v>
      </c>
      <c r="Q2" t="s">
        <v>1689</v>
      </c>
    </row>
    <row r="3" spans="1:17" x14ac:dyDescent="0.2">
      <c r="A3" t="s">
        <v>1651</v>
      </c>
      <c r="B3" t="s">
        <v>573</v>
      </c>
      <c r="C3" t="s">
        <v>1672</v>
      </c>
      <c r="D3" t="s">
        <v>1667</v>
      </c>
      <c r="E3" t="s">
        <v>1671</v>
      </c>
      <c r="F3" t="s">
        <v>648</v>
      </c>
      <c r="G3" t="s">
        <v>648</v>
      </c>
      <c r="H3">
        <v>17</v>
      </c>
      <c r="I3">
        <v>4</v>
      </c>
      <c r="J3">
        <v>0</v>
      </c>
      <c r="K3">
        <v>0</v>
      </c>
      <c r="L3">
        <v>1</v>
      </c>
      <c r="M3" t="s">
        <v>572</v>
      </c>
      <c r="N3">
        <f t="shared" ref="N3:N22" si="0">SUM(H3:I3)</f>
        <v>21</v>
      </c>
      <c r="O3">
        <f t="shared" ref="O3:O22" si="1">I3/(SUM(H3:I3))</f>
        <v>0.19047619047619047</v>
      </c>
      <c r="Q3" t="s">
        <v>1690</v>
      </c>
    </row>
    <row r="4" spans="1:17" x14ac:dyDescent="0.2">
      <c r="H4">
        <f>SUM(H2:H3)</f>
        <v>83</v>
      </c>
      <c r="I4">
        <f>SUM(I2:I3)</f>
        <v>56</v>
      </c>
      <c r="N4">
        <f t="shared" si="0"/>
        <v>139</v>
      </c>
      <c r="O4" s="8">
        <f t="shared" si="1"/>
        <v>0.40287769784172661</v>
      </c>
    </row>
    <row r="5" spans="1:17" x14ac:dyDescent="0.2">
      <c r="A5" t="s">
        <v>1650</v>
      </c>
      <c r="B5" t="s">
        <v>569</v>
      </c>
      <c r="C5" t="s">
        <v>1673</v>
      </c>
      <c r="D5" t="s">
        <v>1674</v>
      </c>
      <c r="E5" t="s">
        <v>1675</v>
      </c>
      <c r="F5" t="s">
        <v>648</v>
      </c>
      <c r="G5" t="s">
        <v>648</v>
      </c>
      <c r="H5">
        <v>27</v>
      </c>
      <c r="I5">
        <v>6</v>
      </c>
      <c r="J5">
        <v>0</v>
      </c>
      <c r="K5">
        <v>0</v>
      </c>
      <c r="L5">
        <v>1</v>
      </c>
      <c r="M5" t="s">
        <v>568</v>
      </c>
      <c r="N5">
        <f>SUM(H5:I5)</f>
        <v>33</v>
      </c>
      <c r="O5">
        <f t="shared" si="1"/>
        <v>0.18181818181818182</v>
      </c>
    </row>
    <row r="6" spans="1:17" x14ac:dyDescent="0.2">
      <c r="A6" t="s">
        <v>1650</v>
      </c>
      <c r="B6" t="s">
        <v>568</v>
      </c>
      <c r="C6" t="s">
        <v>1676</v>
      </c>
      <c r="D6" t="s">
        <v>1674</v>
      </c>
      <c r="E6" t="s">
        <v>1675</v>
      </c>
      <c r="F6" t="s">
        <v>648</v>
      </c>
      <c r="G6" t="s">
        <v>648</v>
      </c>
      <c r="H6">
        <v>17</v>
      </c>
      <c r="I6">
        <v>15</v>
      </c>
      <c r="J6">
        <v>0</v>
      </c>
      <c r="K6">
        <v>0</v>
      </c>
      <c r="L6">
        <v>2</v>
      </c>
      <c r="M6" t="s">
        <v>568</v>
      </c>
      <c r="N6">
        <f t="shared" si="0"/>
        <v>32</v>
      </c>
      <c r="O6">
        <f t="shared" si="1"/>
        <v>0.46875</v>
      </c>
    </row>
    <row r="7" spans="1:17" x14ac:dyDescent="0.2">
      <c r="H7">
        <f>SUM(H5:H6)</f>
        <v>44</v>
      </c>
      <c r="I7">
        <f>SUM(I5:I6)</f>
        <v>21</v>
      </c>
      <c r="N7">
        <f t="shared" si="0"/>
        <v>65</v>
      </c>
      <c r="O7" s="8">
        <f t="shared" si="1"/>
        <v>0.32307692307692309</v>
      </c>
    </row>
    <row r="8" spans="1:17" x14ac:dyDescent="0.2">
      <c r="A8" t="s">
        <v>1647</v>
      </c>
      <c r="B8" t="s">
        <v>331</v>
      </c>
      <c r="C8" t="s">
        <v>1666</v>
      </c>
      <c r="D8" t="s">
        <v>1667</v>
      </c>
      <c r="E8" t="s">
        <v>1665</v>
      </c>
      <c r="F8" t="s">
        <v>648</v>
      </c>
      <c r="G8" t="s">
        <v>648</v>
      </c>
      <c r="H8">
        <v>214</v>
      </c>
      <c r="I8">
        <v>107</v>
      </c>
      <c r="J8">
        <v>0</v>
      </c>
      <c r="K8">
        <v>0</v>
      </c>
      <c r="L8">
        <v>2</v>
      </c>
      <c r="M8" t="s">
        <v>331</v>
      </c>
      <c r="N8">
        <f>SUM(H8:I8)</f>
        <v>321</v>
      </c>
      <c r="O8">
        <f t="shared" si="1"/>
        <v>0.33333333333333331</v>
      </c>
    </row>
    <row r="9" spans="1:17" x14ac:dyDescent="0.2">
      <c r="A9" t="s">
        <v>1647</v>
      </c>
      <c r="B9" t="s">
        <v>332</v>
      </c>
      <c r="C9" t="s">
        <v>1672</v>
      </c>
      <c r="D9" t="s">
        <v>1667</v>
      </c>
      <c r="E9" t="s">
        <v>1665</v>
      </c>
      <c r="F9" t="s">
        <v>648</v>
      </c>
      <c r="G9" t="s">
        <v>648</v>
      </c>
      <c r="H9">
        <v>121</v>
      </c>
      <c r="I9">
        <v>23</v>
      </c>
      <c r="J9">
        <v>0</v>
      </c>
      <c r="K9">
        <v>0</v>
      </c>
      <c r="L9">
        <v>1</v>
      </c>
      <c r="M9" t="s">
        <v>331</v>
      </c>
      <c r="N9">
        <f t="shared" si="0"/>
        <v>144</v>
      </c>
      <c r="O9">
        <f t="shared" si="1"/>
        <v>0.15972222222222221</v>
      </c>
    </row>
    <row r="10" spans="1:17" x14ac:dyDescent="0.2">
      <c r="H10">
        <f>SUM(H8:H9)</f>
        <v>335</v>
      </c>
      <c r="I10">
        <f>SUM(I8:I9)</f>
        <v>130</v>
      </c>
      <c r="N10">
        <f t="shared" si="0"/>
        <v>465</v>
      </c>
      <c r="O10" s="9">
        <f t="shared" si="1"/>
        <v>0.27956989247311825</v>
      </c>
    </row>
    <row r="11" spans="1:17" x14ac:dyDescent="0.2">
      <c r="A11" t="s">
        <v>1648</v>
      </c>
      <c r="B11" t="s">
        <v>383</v>
      </c>
      <c r="C11" t="s">
        <v>1672</v>
      </c>
      <c r="D11" t="s">
        <v>1667</v>
      </c>
      <c r="E11" t="s">
        <v>1671</v>
      </c>
      <c r="F11" t="s">
        <v>648</v>
      </c>
      <c r="G11" t="s">
        <v>648</v>
      </c>
      <c r="H11">
        <v>310</v>
      </c>
      <c r="I11">
        <v>68</v>
      </c>
      <c r="J11">
        <v>0</v>
      </c>
      <c r="K11">
        <v>0</v>
      </c>
      <c r="L11">
        <v>1</v>
      </c>
      <c r="M11" t="s">
        <v>383</v>
      </c>
      <c r="N11">
        <f>SUM(H11:I11)</f>
        <v>378</v>
      </c>
      <c r="O11">
        <f t="shared" si="1"/>
        <v>0.17989417989417988</v>
      </c>
    </row>
    <row r="12" spans="1:17" ht="17" customHeight="1" x14ac:dyDescent="0.2">
      <c r="A12" t="s">
        <v>1648</v>
      </c>
      <c r="B12" t="s">
        <v>384</v>
      </c>
      <c r="C12" t="s">
        <v>1670</v>
      </c>
      <c r="D12" t="s">
        <v>1667</v>
      </c>
      <c r="E12" t="s">
        <v>1671</v>
      </c>
      <c r="F12" t="s">
        <v>648</v>
      </c>
      <c r="G12" t="s">
        <v>648</v>
      </c>
      <c r="H12">
        <v>132</v>
      </c>
      <c r="I12">
        <v>59</v>
      </c>
      <c r="J12">
        <v>0</v>
      </c>
      <c r="K12">
        <v>0</v>
      </c>
      <c r="L12">
        <v>2</v>
      </c>
      <c r="M12" t="s">
        <v>383</v>
      </c>
      <c r="N12">
        <f t="shared" si="0"/>
        <v>191</v>
      </c>
      <c r="O12">
        <f t="shared" si="1"/>
        <v>0.30890052356020942</v>
      </c>
    </row>
    <row r="13" spans="1:17" ht="17" customHeight="1" x14ac:dyDescent="0.2">
      <c r="H13">
        <f>SUM(H11:H12)</f>
        <v>442</v>
      </c>
      <c r="I13">
        <f>SUM(I11:I12)</f>
        <v>127</v>
      </c>
      <c r="N13">
        <f t="shared" si="0"/>
        <v>569</v>
      </c>
      <c r="O13" s="9">
        <f t="shared" si="1"/>
        <v>0.22319859402460457</v>
      </c>
    </row>
    <row r="14" spans="1:17" x14ac:dyDescent="0.2">
      <c r="A14" t="s">
        <v>1650</v>
      </c>
      <c r="B14" t="s">
        <v>446</v>
      </c>
      <c r="C14" t="s">
        <v>1676</v>
      </c>
      <c r="D14" t="s">
        <v>1674</v>
      </c>
      <c r="E14" t="s">
        <v>1675</v>
      </c>
      <c r="F14" t="s">
        <v>1677</v>
      </c>
      <c r="G14" t="s">
        <v>1678</v>
      </c>
      <c r="H14">
        <v>40</v>
      </c>
      <c r="I14">
        <v>18</v>
      </c>
      <c r="J14">
        <v>1</v>
      </c>
      <c r="K14">
        <v>1</v>
      </c>
      <c r="L14">
        <v>2</v>
      </c>
      <c r="M14" t="s">
        <v>445</v>
      </c>
      <c r="N14">
        <f>SUM(H14:I14)</f>
        <v>58</v>
      </c>
      <c r="O14">
        <f t="shared" si="1"/>
        <v>0.31034482758620691</v>
      </c>
    </row>
    <row r="15" spans="1:17" x14ac:dyDescent="0.2">
      <c r="A15" t="s">
        <v>1650</v>
      </c>
      <c r="B15" t="s">
        <v>445</v>
      </c>
      <c r="C15" t="s">
        <v>1673</v>
      </c>
      <c r="D15" t="s">
        <v>1674</v>
      </c>
      <c r="E15" t="s">
        <v>1675</v>
      </c>
      <c r="F15" t="s">
        <v>1679</v>
      </c>
      <c r="G15" t="s">
        <v>648</v>
      </c>
      <c r="H15">
        <v>36</v>
      </c>
      <c r="I15">
        <v>8</v>
      </c>
      <c r="J15">
        <v>1</v>
      </c>
      <c r="K15">
        <v>0</v>
      </c>
      <c r="L15">
        <v>1</v>
      </c>
      <c r="M15" t="s">
        <v>445</v>
      </c>
      <c r="N15">
        <f t="shared" si="0"/>
        <v>44</v>
      </c>
      <c r="O15">
        <f t="shared" si="1"/>
        <v>0.18181818181818182</v>
      </c>
    </row>
    <row r="16" spans="1:17" x14ac:dyDescent="0.2">
      <c r="H16">
        <f>SUM(H14:H15)</f>
        <v>76</v>
      </c>
      <c r="I16">
        <f>SUM(I14:I15)</f>
        <v>26</v>
      </c>
      <c r="N16">
        <f t="shared" si="0"/>
        <v>102</v>
      </c>
      <c r="O16" s="9">
        <f t="shared" si="1"/>
        <v>0.25490196078431371</v>
      </c>
    </row>
    <row r="17" spans="1:15" x14ac:dyDescent="0.2">
      <c r="A17" t="s">
        <v>1647</v>
      </c>
      <c r="B17" t="s">
        <v>586</v>
      </c>
      <c r="C17" t="s">
        <v>1672</v>
      </c>
      <c r="D17" t="s">
        <v>1667</v>
      </c>
      <c r="E17" t="s">
        <v>1665</v>
      </c>
      <c r="F17" t="s">
        <v>648</v>
      </c>
      <c r="G17" t="s">
        <v>648</v>
      </c>
      <c r="H17">
        <v>47</v>
      </c>
      <c r="I17">
        <v>11</v>
      </c>
      <c r="J17">
        <v>0</v>
      </c>
      <c r="K17">
        <v>0</v>
      </c>
      <c r="L17">
        <v>1</v>
      </c>
      <c r="M17" t="s">
        <v>586</v>
      </c>
      <c r="N17">
        <f>SUM(H17:I17)</f>
        <v>58</v>
      </c>
      <c r="O17">
        <f t="shared" si="1"/>
        <v>0.18965517241379309</v>
      </c>
    </row>
    <row r="18" spans="1:15" x14ac:dyDescent="0.2">
      <c r="A18" t="s">
        <v>1647</v>
      </c>
      <c r="B18" t="s">
        <v>587</v>
      </c>
      <c r="C18" t="s">
        <v>1666</v>
      </c>
      <c r="D18" t="s">
        <v>1667</v>
      </c>
      <c r="E18" t="s">
        <v>1665</v>
      </c>
      <c r="F18" t="s">
        <v>1680</v>
      </c>
      <c r="G18" t="s">
        <v>648</v>
      </c>
      <c r="H18">
        <v>46</v>
      </c>
      <c r="I18">
        <v>23</v>
      </c>
      <c r="J18">
        <v>1</v>
      </c>
      <c r="K18">
        <v>0</v>
      </c>
      <c r="L18">
        <v>2</v>
      </c>
      <c r="M18" t="s">
        <v>586</v>
      </c>
      <c r="N18">
        <f t="shared" si="0"/>
        <v>69</v>
      </c>
      <c r="O18">
        <f t="shared" si="1"/>
        <v>0.33333333333333331</v>
      </c>
    </row>
    <row r="19" spans="1:15" x14ac:dyDescent="0.2">
      <c r="H19">
        <f>SUM(H17:H18)</f>
        <v>93</v>
      </c>
      <c r="I19">
        <f>SUM(I17:I18)</f>
        <v>34</v>
      </c>
      <c r="N19">
        <f t="shared" si="0"/>
        <v>127</v>
      </c>
      <c r="O19" s="9">
        <f t="shared" si="1"/>
        <v>0.26771653543307089</v>
      </c>
    </row>
    <row r="20" spans="1:15" x14ac:dyDescent="0.2">
      <c r="A20" t="s">
        <v>1647</v>
      </c>
      <c r="B20" t="s">
        <v>327</v>
      </c>
      <c r="C20" t="s">
        <v>1666</v>
      </c>
      <c r="D20" t="s">
        <v>1667</v>
      </c>
      <c r="E20" t="s">
        <v>1665</v>
      </c>
      <c r="F20" t="s">
        <v>648</v>
      </c>
      <c r="G20" t="s">
        <v>648</v>
      </c>
      <c r="H20">
        <v>132</v>
      </c>
      <c r="I20">
        <v>76</v>
      </c>
      <c r="J20">
        <v>0</v>
      </c>
      <c r="K20">
        <v>0</v>
      </c>
      <c r="L20">
        <v>2</v>
      </c>
      <c r="M20" t="s">
        <v>327</v>
      </c>
      <c r="N20">
        <f>SUM(H20:I20)</f>
        <v>208</v>
      </c>
      <c r="O20">
        <f t="shared" si="1"/>
        <v>0.36538461538461536</v>
      </c>
    </row>
    <row r="21" spans="1:15" x14ac:dyDescent="0.2">
      <c r="A21" t="s">
        <v>1647</v>
      </c>
      <c r="B21" t="s">
        <v>328</v>
      </c>
      <c r="C21" t="s">
        <v>1672</v>
      </c>
      <c r="D21" t="s">
        <v>1667</v>
      </c>
      <c r="E21" t="s">
        <v>1665</v>
      </c>
      <c r="F21" t="s">
        <v>648</v>
      </c>
      <c r="G21" t="s">
        <v>648</v>
      </c>
      <c r="H21">
        <v>99</v>
      </c>
      <c r="I21">
        <v>20</v>
      </c>
      <c r="J21">
        <v>0</v>
      </c>
      <c r="K21">
        <v>0</v>
      </c>
      <c r="L21">
        <v>1</v>
      </c>
      <c r="M21" t="s">
        <v>327</v>
      </c>
      <c r="N21">
        <f t="shared" si="0"/>
        <v>119</v>
      </c>
      <c r="O21">
        <f t="shared" si="1"/>
        <v>0.16806722689075632</v>
      </c>
    </row>
    <row r="22" spans="1:15" x14ac:dyDescent="0.2">
      <c r="H22">
        <f>SUM(H20:H21)</f>
        <v>231</v>
      </c>
      <c r="I22">
        <f>SUM(I20:I21)</f>
        <v>96</v>
      </c>
      <c r="N22">
        <f t="shared" si="0"/>
        <v>327</v>
      </c>
      <c r="O22" s="9">
        <f t="shared" si="1"/>
        <v>0.29357798165137616</v>
      </c>
    </row>
    <row r="24" spans="1:15" x14ac:dyDescent="0.2">
      <c r="B24" t="s">
        <v>1691</v>
      </c>
    </row>
    <row r="25" spans="1:15" x14ac:dyDescent="0.2">
      <c r="B25" t="s">
        <v>1692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sample_data</vt:lpstr>
      <vt:lpstr>change_notes_issues</vt:lpstr>
      <vt:lpstr>labels_zpad_wreps</vt:lpstr>
      <vt:lpstr>labels_zpad_merged</vt:lpstr>
      <vt:lpstr>samples to merge</vt:lpstr>
      <vt:lpstr>wreps_dup-check</vt:lpstr>
      <vt:lpstr>merge_dup-check</vt:lpstr>
      <vt:lpstr>new_dupes</vt:lpstr>
      <vt:lpstr>wreps_genos-to-check</vt:lpstr>
      <vt:lpstr>merged_genos-to-check</vt:lpstr>
      <vt:lpstr>merged_genos-to-change</vt:lpstr>
      <vt:lpstr>wreps_mismatches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aonoufriou</dc:creator>
  <cp:lastModifiedBy>aonoufriou</cp:lastModifiedBy>
  <dcterms:created xsi:type="dcterms:W3CDTF">2025-10-21T15:35:10Z</dcterms:created>
  <dcterms:modified xsi:type="dcterms:W3CDTF">2025-12-16T18:14:51Z</dcterms:modified>
</cp:coreProperties>
</file>